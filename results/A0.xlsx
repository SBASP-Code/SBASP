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BASP\Results\Newdominance\"/>
    </mc:Choice>
  </mc:AlternateContent>
  <xr:revisionPtr revIDLastSave="0" documentId="13_ncr:1_{96EC0513-8CE5-4396-B28A-6DFC16F67142}" xr6:coauthVersionLast="36" xr6:coauthVersionMax="47" xr10:uidLastSave="{00000000-0000-0000-0000-000000000000}"/>
  <bookViews>
    <workbookView xWindow="4590" yWindow="1350" windowWidth="17070" windowHeight="11895" activeTab="4" xr2:uid="{00000000-000D-0000-FFFF-FFFF00000000}"/>
  </bookViews>
  <sheets>
    <sheet name="B2" sheetId="1" r:id="rId1"/>
    <sheet name="B4" sheetId="2" r:id="rId2"/>
    <sheet name="B6" sheetId="3" r:id="rId3"/>
    <sheet name="B8" sheetId="4" r:id="rId4"/>
    <sheet name="B1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5" l="1"/>
  <c r="H25" i="5"/>
  <c r="H19" i="5"/>
  <c r="H13" i="5"/>
  <c r="H7" i="5"/>
  <c r="H33" i="5" s="1"/>
  <c r="H31" i="4"/>
  <c r="H25" i="4"/>
  <c r="H19" i="4"/>
  <c r="H13" i="4"/>
  <c r="H7" i="4"/>
  <c r="H31" i="3"/>
  <c r="H25" i="3"/>
  <c r="H19" i="3"/>
  <c r="H13" i="3"/>
  <c r="H7" i="3"/>
  <c r="H31" i="2"/>
  <c r="H25" i="2"/>
  <c r="H19" i="2"/>
  <c r="H13" i="2"/>
  <c r="H7" i="2"/>
  <c r="H31" i="1"/>
  <c r="H25" i="1"/>
  <c r="H19" i="1"/>
  <c r="H13" i="1"/>
  <c r="H33" i="4" l="1"/>
  <c r="H33" i="3"/>
  <c r="H33" i="2"/>
  <c r="H7" i="1"/>
  <c r="H33" i="1" s="1"/>
  <c r="D30" i="5" l="1"/>
  <c r="D29" i="5"/>
  <c r="D28" i="5"/>
  <c r="D27" i="5"/>
  <c r="D26" i="5"/>
  <c r="D24" i="5"/>
  <c r="D23" i="5"/>
  <c r="D22" i="5"/>
  <c r="D21" i="5"/>
  <c r="D20" i="5"/>
  <c r="D18" i="5"/>
  <c r="D17" i="5"/>
  <c r="D16" i="5"/>
  <c r="D15" i="5"/>
  <c r="D14" i="5"/>
  <c r="D12" i="5"/>
  <c r="D11" i="5"/>
  <c r="D10" i="5"/>
  <c r="D9" i="5"/>
  <c r="D8" i="5"/>
  <c r="D6" i="5"/>
  <c r="D5" i="5"/>
  <c r="D4" i="5"/>
  <c r="D3" i="5"/>
  <c r="D2" i="5"/>
  <c r="D30" i="4"/>
  <c r="D29" i="4"/>
  <c r="D28" i="4"/>
  <c r="D27" i="4"/>
  <c r="D26" i="4"/>
  <c r="D24" i="4"/>
  <c r="D23" i="4"/>
  <c r="D22" i="4"/>
  <c r="D21" i="4"/>
  <c r="D20" i="4"/>
  <c r="D18" i="4"/>
  <c r="D17" i="4"/>
  <c r="D16" i="4"/>
  <c r="D15" i="4"/>
  <c r="D14" i="4"/>
  <c r="D12" i="4"/>
  <c r="D11" i="4"/>
  <c r="D10" i="4"/>
  <c r="D9" i="4"/>
  <c r="D8" i="4"/>
  <c r="D6" i="4"/>
  <c r="D5" i="4"/>
  <c r="D4" i="4"/>
  <c r="D3" i="4"/>
  <c r="D2" i="4"/>
  <c r="D30" i="3"/>
  <c r="D29" i="3"/>
  <c r="D28" i="3"/>
  <c r="D27" i="3"/>
  <c r="D26" i="3"/>
  <c r="D24" i="3"/>
  <c r="D23" i="3"/>
  <c r="D22" i="3"/>
  <c r="D21" i="3"/>
  <c r="D20" i="3"/>
  <c r="D18" i="3"/>
  <c r="D17" i="3"/>
  <c r="D16" i="3"/>
  <c r="D15" i="3"/>
  <c r="D14" i="3"/>
  <c r="D12" i="3"/>
  <c r="D11" i="3"/>
  <c r="D10" i="3"/>
  <c r="D9" i="3"/>
  <c r="D8" i="3"/>
  <c r="D6" i="3"/>
  <c r="D5" i="3"/>
  <c r="D4" i="3"/>
  <c r="D3" i="3"/>
  <c r="D2" i="3"/>
  <c r="D30" i="2"/>
  <c r="D29" i="2"/>
  <c r="D28" i="2"/>
  <c r="D27" i="2"/>
  <c r="D26" i="2"/>
  <c r="D24" i="2"/>
  <c r="D23" i="2"/>
  <c r="D22" i="2"/>
  <c r="D21" i="2"/>
  <c r="D20" i="2"/>
  <c r="D18" i="2"/>
  <c r="D17" i="2"/>
  <c r="D16" i="2"/>
  <c r="D15" i="2"/>
  <c r="D14" i="2"/>
  <c r="D12" i="2"/>
  <c r="D11" i="2"/>
  <c r="D10" i="2"/>
  <c r="D9" i="2"/>
  <c r="D8" i="2"/>
  <c r="D6" i="2"/>
  <c r="D5" i="2"/>
  <c r="D4" i="2"/>
  <c r="D3" i="2"/>
  <c r="D2" i="2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2" i="1"/>
  <c r="D11" i="1"/>
  <c r="D10" i="1"/>
  <c r="D9" i="1"/>
  <c r="D8" i="1"/>
  <c r="D3" i="1"/>
  <c r="D4" i="1"/>
  <c r="D5" i="1"/>
  <c r="D6" i="1"/>
  <c r="D2" i="1"/>
  <c r="D31" i="3" l="1"/>
  <c r="G31" i="3"/>
  <c r="F31" i="3"/>
  <c r="F19" i="3"/>
  <c r="G19" i="3"/>
  <c r="D25" i="5"/>
  <c r="F25" i="5" s="1"/>
  <c r="D7" i="5"/>
  <c r="G7" i="5" s="1"/>
  <c r="D7" i="4"/>
  <c r="F7" i="4" s="1"/>
  <c r="D7" i="3"/>
  <c r="D33" i="3" s="1"/>
  <c r="D25" i="2"/>
  <c r="F25" i="2" s="1"/>
  <c r="D7" i="2"/>
  <c r="D13" i="1"/>
  <c r="G13" i="1" s="1"/>
  <c r="D7" i="1"/>
  <c r="D25" i="4"/>
  <c r="F25" i="4" s="1"/>
  <c r="D13" i="4"/>
  <c r="F13" i="4" s="1"/>
  <c r="D19" i="4"/>
  <c r="F19" i="4" s="1"/>
  <c r="D31" i="4"/>
  <c r="G31" i="4" s="1"/>
  <c r="D19" i="3"/>
  <c r="D13" i="3"/>
  <c r="F13" i="3" s="1"/>
  <c r="D25" i="3"/>
  <c r="F25" i="3" s="1"/>
  <c r="D19" i="2"/>
  <c r="F19" i="2" s="1"/>
  <c r="D31" i="2"/>
  <c r="F31" i="2" s="1"/>
  <c r="D13" i="2"/>
  <c r="G13" i="2" s="1"/>
  <c r="D31" i="1"/>
  <c r="G31" i="1" s="1"/>
  <c r="D19" i="1"/>
  <c r="G19" i="1" s="1"/>
  <c r="D25" i="1"/>
  <c r="G25" i="1" s="1"/>
  <c r="D19" i="5"/>
  <c r="G19" i="5" s="1"/>
  <c r="D31" i="5"/>
  <c r="G31" i="5" s="1"/>
  <c r="D13" i="5"/>
  <c r="G13" i="5" s="1"/>
  <c r="F31" i="5" l="1"/>
  <c r="F13" i="5"/>
  <c r="F7" i="5"/>
  <c r="G25" i="5"/>
  <c r="G33" i="5" s="1"/>
  <c r="F19" i="5"/>
  <c r="F33" i="5" s="1"/>
  <c r="D33" i="5"/>
  <c r="G7" i="4"/>
  <c r="F31" i="4"/>
  <c r="G19" i="4"/>
  <c r="F33" i="4"/>
  <c r="G25" i="4"/>
  <c r="G13" i="4"/>
  <c r="G33" i="4"/>
  <c r="D33" i="4"/>
  <c r="G13" i="3"/>
  <c r="G25" i="3"/>
  <c r="G7" i="3"/>
  <c r="G33" i="3" s="1"/>
  <c r="F7" i="3"/>
  <c r="F33" i="3" s="1"/>
  <c r="D33" i="2"/>
  <c r="F7" i="2"/>
  <c r="G25" i="2"/>
  <c r="G7" i="2"/>
  <c r="G31" i="2"/>
  <c r="G19" i="2"/>
  <c r="F13" i="2"/>
  <c r="F7" i="1"/>
  <c r="D33" i="1"/>
  <c r="F19" i="1"/>
  <c r="F31" i="1"/>
  <c r="F13" i="1"/>
  <c r="F25" i="1"/>
  <c r="G7" i="1"/>
  <c r="G33" i="1" s="1"/>
  <c r="E30" i="5"/>
  <c r="E29" i="5"/>
  <c r="E28" i="5"/>
  <c r="E27" i="5"/>
  <c r="E26" i="5"/>
  <c r="E24" i="5"/>
  <c r="E23" i="5"/>
  <c r="E22" i="5"/>
  <c r="E21" i="5"/>
  <c r="E20" i="5"/>
  <c r="E18" i="5"/>
  <c r="E17" i="5"/>
  <c r="E16" i="5"/>
  <c r="E15" i="5"/>
  <c r="E14" i="5"/>
  <c r="E12" i="5"/>
  <c r="E11" i="5"/>
  <c r="E10" i="5"/>
  <c r="E9" i="5"/>
  <c r="E8" i="5"/>
  <c r="E6" i="5"/>
  <c r="E5" i="5"/>
  <c r="E4" i="5"/>
  <c r="E3" i="5"/>
  <c r="E2" i="5"/>
  <c r="E30" i="4"/>
  <c r="E29" i="4"/>
  <c r="E28" i="4"/>
  <c r="E27" i="4"/>
  <c r="E26" i="4"/>
  <c r="E24" i="4"/>
  <c r="E23" i="4"/>
  <c r="E22" i="4"/>
  <c r="E21" i="4"/>
  <c r="E20" i="4"/>
  <c r="E18" i="4"/>
  <c r="E17" i="4"/>
  <c r="E16" i="4"/>
  <c r="E15" i="4"/>
  <c r="E14" i="4"/>
  <c r="E12" i="4"/>
  <c r="E11" i="4"/>
  <c r="E10" i="4"/>
  <c r="E9" i="4"/>
  <c r="E8" i="4"/>
  <c r="E6" i="4"/>
  <c r="E5" i="4"/>
  <c r="E4" i="4"/>
  <c r="E3" i="4"/>
  <c r="E2" i="4"/>
  <c r="E30" i="3"/>
  <c r="E29" i="3"/>
  <c r="E28" i="3"/>
  <c r="E27" i="3"/>
  <c r="E26" i="3"/>
  <c r="E24" i="3"/>
  <c r="E23" i="3"/>
  <c r="E22" i="3"/>
  <c r="E21" i="3"/>
  <c r="E20" i="3"/>
  <c r="E18" i="3"/>
  <c r="E17" i="3"/>
  <c r="E16" i="3"/>
  <c r="E15" i="3"/>
  <c r="E14" i="3"/>
  <c r="E12" i="3"/>
  <c r="E11" i="3"/>
  <c r="E10" i="3"/>
  <c r="E9" i="3"/>
  <c r="E8" i="3"/>
  <c r="E6" i="3"/>
  <c r="E5" i="3"/>
  <c r="E4" i="3"/>
  <c r="E3" i="3"/>
  <c r="E2" i="3"/>
  <c r="E30" i="2"/>
  <c r="E29" i="2"/>
  <c r="E28" i="2"/>
  <c r="E27" i="2"/>
  <c r="E26" i="2"/>
  <c r="E24" i="2"/>
  <c r="E23" i="2"/>
  <c r="E22" i="2"/>
  <c r="E21" i="2"/>
  <c r="E20" i="2"/>
  <c r="E18" i="2"/>
  <c r="E17" i="2"/>
  <c r="E16" i="2"/>
  <c r="E15" i="2"/>
  <c r="E14" i="2"/>
  <c r="E12" i="2"/>
  <c r="E11" i="2"/>
  <c r="E10" i="2"/>
  <c r="E9" i="2"/>
  <c r="E8" i="2"/>
  <c r="E6" i="2"/>
  <c r="E5" i="2"/>
  <c r="E4" i="2"/>
  <c r="E3" i="2"/>
  <c r="E2" i="2"/>
  <c r="E30" i="1"/>
  <c r="E29" i="1"/>
  <c r="E28" i="1"/>
  <c r="E27" i="1"/>
  <c r="E26" i="1"/>
  <c r="E24" i="1"/>
  <c r="E23" i="1"/>
  <c r="E22" i="1"/>
  <c r="E21" i="1"/>
  <c r="E20" i="1"/>
  <c r="E18" i="1"/>
  <c r="E17" i="1"/>
  <c r="E16" i="1"/>
  <c r="E15" i="1"/>
  <c r="E14" i="1"/>
  <c r="E12" i="1"/>
  <c r="E11" i="1"/>
  <c r="E10" i="1"/>
  <c r="E9" i="1"/>
  <c r="E8" i="1"/>
  <c r="E6" i="1"/>
  <c r="E5" i="1"/>
  <c r="E4" i="1"/>
  <c r="E3" i="1"/>
  <c r="E2" i="1"/>
  <c r="G33" i="2" l="1"/>
  <c r="E7" i="2"/>
  <c r="F33" i="2"/>
  <c r="F33" i="1"/>
  <c r="E19" i="5"/>
  <c r="E19" i="3"/>
  <c r="D35" i="5"/>
  <c r="G35" i="5" s="1"/>
  <c r="E31" i="1"/>
  <c r="E13" i="3"/>
  <c r="E19" i="1"/>
  <c r="E7" i="4"/>
  <c r="E33" i="4" s="1"/>
  <c r="E31" i="3"/>
  <c r="E25" i="2"/>
  <c r="E13" i="2"/>
  <c r="E19" i="2"/>
  <c r="E31" i="5"/>
  <c r="E7" i="5"/>
  <c r="E25" i="5"/>
  <c r="E13" i="4"/>
  <c r="E25" i="4"/>
  <c r="E31" i="4"/>
  <c r="E19" i="4"/>
  <c r="E7" i="3"/>
  <c r="E25" i="3"/>
  <c r="E31" i="2"/>
  <c r="E13" i="1"/>
  <c r="E25" i="1"/>
  <c r="E7" i="1"/>
  <c r="E33" i="1" s="1"/>
  <c r="E13" i="5"/>
  <c r="E33" i="5" l="1"/>
  <c r="E33" i="3"/>
  <c r="E33" i="2"/>
  <c r="F35" i="5"/>
  <c r="H35" i="5"/>
  <c r="E35" i="5" l="1"/>
</calcChain>
</file>

<file path=xl/sharedStrings.xml><?xml version="1.0" encoding="utf-8"?>
<sst xmlns="http://schemas.openxmlformats.org/spreadsheetml/2006/main" count="71" uniqueCount="11">
  <si>
    <t>B</t>
  </si>
  <si>
    <t>S</t>
  </si>
  <si>
    <t>C</t>
  </si>
  <si>
    <t>Gap</t>
  </si>
  <si>
    <t>Time</t>
  </si>
  <si>
    <t>Obj</t>
  </si>
  <si>
    <t>Average</t>
  </si>
  <si>
    <t>Opt</t>
    <phoneticPr fontId="3" type="noConversion"/>
  </si>
  <si>
    <t>Total</t>
    <phoneticPr fontId="3" type="noConversion"/>
  </si>
  <si>
    <t>Summary</t>
    <phoneticPr fontId="3" type="noConversion"/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</si>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</sst>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"/>
    <numFmt numFmtId="166" formatCode="0.0;[Red]0.0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NumberFormat="1"/>
    <xf numFmtId="165" fontId="2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workbookViewId="0">
      <selection activeCell="I20" sqref="I20"/>
    </sheetView>
  </sheetViews>
  <sheetFormatPr defaultRowHeight="15"/>
  <cols>
    <col min="6" max="6" width="9.42578125" customWidth="1"/>
    <col min="7" max="7" width="9.140625" style="6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5" t="s">
        <v>3</v>
      </c>
      <c r="H1" s="1" t="s">
        <v>4</v>
      </c>
    </row>
    <row r="2" spans="1:35">
      <c r="A2">
        <v>2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46.237000000000002</v>
      </c>
      <c r="G2" s="9">
        <v>0</v>
      </c>
      <c r="H2" s="9">
        <v>6.3699999999999998E-3</v>
      </c>
      <c r="M2" s="2"/>
      <c r="S2" s="2"/>
      <c r="Y2" s="2"/>
      <c r="AD2" s="3"/>
      <c r="AE2" s="2"/>
    </row>
    <row r="3" spans="1:35">
      <c r="A3">
        <v>2</v>
      </c>
      <c r="B3">
        <v>100</v>
      </c>
      <c r="C3">
        <v>2</v>
      </c>
      <c r="D3">
        <f t="shared" ref="D3:D6" si="0">IF(F3&lt;9999,1,0)</f>
        <v>1</v>
      </c>
      <c r="E3">
        <f>IF(G3&lt;1,1,0)</f>
        <v>1</v>
      </c>
      <c r="F3" s="9">
        <v>415.92200000000003</v>
      </c>
      <c r="G3" s="9">
        <v>0</v>
      </c>
      <c r="H3" s="9">
        <v>3.3996999999999999E-2</v>
      </c>
      <c r="L3" s="2"/>
      <c r="R3" s="2"/>
      <c r="X3" s="2"/>
      <c r="AC3" s="3"/>
      <c r="AD3" s="2"/>
    </row>
    <row r="4" spans="1:35">
      <c r="A4">
        <v>2</v>
      </c>
      <c r="B4">
        <v>100</v>
      </c>
      <c r="C4">
        <v>3</v>
      </c>
      <c r="D4">
        <f t="shared" si="0"/>
        <v>1</v>
      </c>
      <c r="E4">
        <f>IF(G4&lt;1,1,0)</f>
        <v>1</v>
      </c>
      <c r="F4" s="9">
        <v>120.03700000000001</v>
      </c>
      <c r="G4" s="9">
        <v>0.70589100000000005</v>
      </c>
      <c r="H4" s="9">
        <v>6.1237E-2</v>
      </c>
      <c r="K4" s="2"/>
      <c r="Q4" s="2"/>
      <c r="W4" s="2"/>
      <c r="AB4" s="3"/>
      <c r="AC4" s="2"/>
      <c r="AI4" s="2"/>
    </row>
    <row r="5" spans="1:35">
      <c r="A5">
        <v>2</v>
      </c>
      <c r="B5">
        <v>100</v>
      </c>
      <c r="C5">
        <v>4</v>
      </c>
      <c r="D5">
        <f t="shared" si="0"/>
        <v>1</v>
      </c>
      <c r="E5">
        <f>IF(G5&lt;1,1,0)</f>
        <v>1</v>
      </c>
      <c r="F5" s="9">
        <v>78.393299999999996</v>
      </c>
      <c r="G5" s="9">
        <v>0</v>
      </c>
      <c r="H5" s="9">
        <v>4.3499999999999997E-3</v>
      </c>
      <c r="J5" s="2"/>
      <c r="P5" s="2"/>
      <c r="V5" s="2"/>
      <c r="AA5" s="3"/>
      <c r="AB5" s="2"/>
      <c r="AH5" s="2"/>
    </row>
    <row r="6" spans="1:35">
      <c r="A6">
        <v>2</v>
      </c>
      <c r="B6">
        <v>100</v>
      </c>
      <c r="C6">
        <v>5</v>
      </c>
      <c r="D6">
        <f t="shared" si="0"/>
        <v>1</v>
      </c>
      <c r="E6">
        <f>IF(G6&lt;1,1,0)</f>
        <v>1</v>
      </c>
      <c r="F6" s="9">
        <v>153.47800000000001</v>
      </c>
      <c r="G6" s="9">
        <v>0.67498199999999997</v>
      </c>
      <c r="H6" s="9">
        <v>6.7432000000000006E-2</v>
      </c>
      <c r="I6" s="2"/>
      <c r="O6" s="2"/>
      <c r="U6" s="2"/>
      <c r="Z6" s="3"/>
      <c r="AA6" s="2"/>
      <c r="AG6" s="2"/>
    </row>
    <row r="7" spans="1:35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162.81345999999999</v>
      </c>
      <c r="G7" s="10">
        <f>($D2*G2+$D3*G3+$D4*G4+$D5*G5+$D6*G6)/$D7</f>
        <v>0.27617459999999999</v>
      </c>
      <c r="H7" s="10">
        <f>AVERAGE(H2:H6)</f>
        <v>3.4677199999999998E-2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5">
      <c r="A8">
        <v>2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58.217199999999998</v>
      </c>
      <c r="G8" s="9">
        <v>0</v>
      </c>
      <c r="H8" s="9">
        <v>2.0215E-2</v>
      </c>
      <c r="M8" s="2"/>
      <c r="S8" s="2"/>
      <c r="X8" s="3"/>
      <c r="Y8" s="2"/>
      <c r="AE8" s="2"/>
    </row>
    <row r="9" spans="1:35">
      <c r="A9">
        <v>2</v>
      </c>
      <c r="B9">
        <v>200</v>
      </c>
      <c r="C9">
        <v>2</v>
      </c>
      <c r="D9">
        <f t="shared" ref="D9:D12" si="1">IF(F9&lt;9999,1,0)</f>
        <v>1</v>
      </c>
      <c r="E9">
        <f>IF(G9&lt;1,1,0)</f>
        <v>1</v>
      </c>
      <c r="F9" s="9">
        <v>206.28299999999999</v>
      </c>
      <c r="G9" s="9">
        <v>0</v>
      </c>
      <c r="H9" s="9">
        <v>3.5571999999999999E-2</v>
      </c>
      <c r="L9" s="2"/>
      <c r="R9" s="2"/>
      <c r="W9" s="3"/>
      <c r="X9" s="2"/>
      <c r="AD9" s="2"/>
    </row>
    <row r="10" spans="1:35">
      <c r="A10">
        <v>2</v>
      </c>
      <c r="B10">
        <v>200</v>
      </c>
      <c r="C10">
        <v>3</v>
      </c>
      <c r="D10">
        <f t="shared" si="1"/>
        <v>1</v>
      </c>
      <c r="E10">
        <f>IF(G10&lt;1,1,0)</f>
        <v>1</v>
      </c>
      <c r="F10" s="9">
        <v>98.631100000000004</v>
      </c>
      <c r="G10" s="9">
        <v>0</v>
      </c>
      <c r="H10" s="9">
        <v>1.9380000000000001E-2</v>
      </c>
      <c r="K10" s="2"/>
      <c r="Q10" s="2"/>
      <c r="V10" s="3"/>
      <c r="W10" s="2"/>
      <c r="AC10" s="2"/>
    </row>
    <row r="11" spans="1:35">
      <c r="A11">
        <v>2</v>
      </c>
      <c r="B11">
        <v>200</v>
      </c>
      <c r="C11">
        <v>4</v>
      </c>
      <c r="D11">
        <f t="shared" si="1"/>
        <v>1</v>
      </c>
      <c r="E11">
        <f>IF(G11&lt;1,1,0)</f>
        <v>1</v>
      </c>
      <c r="F11" s="9">
        <v>109.389</v>
      </c>
      <c r="G11" s="9">
        <v>0.818604</v>
      </c>
      <c r="H11" s="9">
        <v>0.184839</v>
      </c>
      <c r="J11" s="2"/>
      <c r="P11" s="2"/>
      <c r="U11" s="3"/>
      <c r="V11" s="2"/>
      <c r="AB11" s="2"/>
    </row>
    <row r="12" spans="1:35">
      <c r="A12">
        <v>2</v>
      </c>
      <c r="B12">
        <v>200</v>
      </c>
      <c r="C12">
        <v>5</v>
      </c>
      <c r="D12">
        <f t="shared" si="1"/>
        <v>1</v>
      </c>
      <c r="E12">
        <f>IF(G12&lt;1,1,0)</f>
        <v>1</v>
      </c>
      <c r="F12" s="9">
        <v>85.647999999999996</v>
      </c>
      <c r="G12" s="9">
        <v>0.38555499999999998</v>
      </c>
      <c r="H12" s="9">
        <v>2.9989999999999999E-2</v>
      </c>
      <c r="I12" s="2"/>
      <c r="O12" s="2"/>
      <c r="T12" s="3"/>
      <c r="U12" s="2"/>
      <c r="AA12" s="2"/>
    </row>
    <row r="13" spans="1:35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111.63366000000001</v>
      </c>
      <c r="G13" s="10">
        <f>($D8*G8+$D9*G9+$D10*G10+$D11*G11+$D12*G12)/$D13</f>
        <v>0.24083179999999998</v>
      </c>
      <c r="H13" s="10">
        <f>AVERAGE(H8:H12)</f>
        <v>5.7999200000000008E-2</v>
      </c>
      <c r="I13"/>
      <c r="J13"/>
      <c r="K13"/>
      <c r="L13"/>
      <c r="M13"/>
      <c r="O13"/>
      <c r="P13"/>
      <c r="Q13"/>
      <c r="R13"/>
      <c r="S13"/>
      <c r="U13"/>
      <c r="V13"/>
      <c r="W13"/>
      <c r="X13"/>
      <c r="Y13"/>
      <c r="AA13"/>
      <c r="AB13"/>
      <c r="AC13"/>
      <c r="AD13"/>
      <c r="AE13"/>
      <c r="AF13"/>
      <c r="AG13"/>
      <c r="AH13"/>
    </row>
    <row r="14" spans="1:35">
      <c r="A14">
        <v>2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44.073799999999999</v>
      </c>
      <c r="G14" s="9">
        <v>0</v>
      </c>
      <c r="H14" s="9">
        <v>0.15950800000000001</v>
      </c>
      <c r="M14" s="2"/>
      <c r="R14" s="3"/>
      <c r="S14" s="2"/>
      <c r="Y14" s="2"/>
    </row>
    <row r="15" spans="1:35">
      <c r="A15">
        <v>2</v>
      </c>
      <c r="B15">
        <v>300</v>
      </c>
      <c r="C15">
        <v>2</v>
      </c>
      <c r="D15">
        <f t="shared" ref="D15:D18" si="2">IF(F15&lt;9999,1,0)</f>
        <v>1</v>
      </c>
      <c r="E15">
        <f>IF(G15&lt;1,1,0)</f>
        <v>1</v>
      </c>
      <c r="F15" s="9">
        <v>109.751</v>
      </c>
      <c r="G15" s="9">
        <v>0.26875300000000002</v>
      </c>
      <c r="H15" s="9">
        <v>0.23619000000000001</v>
      </c>
      <c r="L15" s="2"/>
      <c r="Q15" s="3"/>
      <c r="R15" s="2"/>
      <c r="X15" s="2"/>
    </row>
    <row r="16" spans="1:35">
      <c r="A16">
        <v>2</v>
      </c>
      <c r="B16">
        <v>300</v>
      </c>
      <c r="C16">
        <v>3</v>
      </c>
      <c r="D16">
        <f t="shared" si="2"/>
        <v>1</v>
      </c>
      <c r="E16">
        <f>IF(G16&lt;1,1,0)</f>
        <v>1</v>
      </c>
      <c r="F16" s="9">
        <v>125.71899999999999</v>
      </c>
      <c r="G16" s="9">
        <v>0.87109999999999999</v>
      </c>
      <c r="H16" s="9">
        <v>0.162329</v>
      </c>
      <c r="K16" s="2"/>
      <c r="P16" s="3"/>
      <c r="Q16" s="2"/>
      <c r="W16" s="2"/>
    </row>
    <row r="17" spans="1:34">
      <c r="A17">
        <v>2</v>
      </c>
      <c r="B17">
        <v>300</v>
      </c>
      <c r="C17">
        <v>4</v>
      </c>
      <c r="D17">
        <f t="shared" si="2"/>
        <v>1</v>
      </c>
      <c r="E17">
        <f>IF(G17&lt;1,1,0)</f>
        <v>1</v>
      </c>
      <c r="F17" s="9">
        <v>96.921199999999999</v>
      </c>
      <c r="G17" s="9">
        <v>0.313724</v>
      </c>
      <c r="H17" s="9">
        <v>3.245E-2</v>
      </c>
      <c r="J17" s="2"/>
      <c r="O17" s="3"/>
      <c r="P17" s="2"/>
      <c r="V17" s="2"/>
    </row>
    <row r="18" spans="1:34">
      <c r="A18">
        <v>2</v>
      </c>
      <c r="B18">
        <v>300</v>
      </c>
      <c r="C18">
        <v>5</v>
      </c>
      <c r="D18">
        <f t="shared" si="2"/>
        <v>1</v>
      </c>
      <c r="E18">
        <f>IF(G18&lt;1,1,0)</f>
        <v>1</v>
      </c>
      <c r="F18" s="9">
        <v>93.453199999999995</v>
      </c>
      <c r="G18" s="9">
        <v>0.79386299999999999</v>
      </c>
      <c r="H18" s="9">
        <v>0.12714400000000001</v>
      </c>
      <c r="I18" s="2"/>
      <c r="N18" s="3"/>
      <c r="O18" s="2"/>
      <c r="U18" s="2"/>
    </row>
    <row r="19" spans="1:34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93.983640000000008</v>
      </c>
      <c r="G19" s="10">
        <f>($D14*G14+$D15*G15+$D16*G16+$D17*G17+$D18*G18)/$D19</f>
        <v>0.449488</v>
      </c>
      <c r="H19" s="10">
        <f>AVERAGE(H14:H18)</f>
        <v>0.14352420000000002</v>
      </c>
      <c r="I19"/>
      <c r="J19"/>
      <c r="K19"/>
      <c r="L19"/>
      <c r="M19"/>
      <c r="O19"/>
      <c r="P19"/>
      <c r="Q19"/>
      <c r="R19"/>
      <c r="S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>
      <c r="A20">
        <v>2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121.742</v>
      </c>
      <c r="G20" s="9">
        <v>0</v>
      </c>
      <c r="H20" s="9">
        <v>0.26188699999999998</v>
      </c>
      <c r="L20" s="3"/>
      <c r="M20" s="2"/>
      <c r="S20" s="2"/>
    </row>
    <row r="21" spans="1:34">
      <c r="A21">
        <v>2</v>
      </c>
      <c r="B21">
        <v>400</v>
      </c>
      <c r="C21">
        <v>2</v>
      </c>
      <c r="D21">
        <f t="shared" ref="D21:D24" si="3">IF(F21&lt;9999,1,0)</f>
        <v>1</v>
      </c>
      <c r="E21">
        <f>IF(G21&lt;1,1,0)</f>
        <v>1</v>
      </c>
      <c r="F21" s="9">
        <v>213.23699999999999</v>
      </c>
      <c r="G21" s="9">
        <v>0</v>
      </c>
      <c r="H21" s="9">
        <v>5.4668000000000001E-2</v>
      </c>
      <c r="K21" s="3"/>
      <c r="L21" s="2"/>
      <c r="R21" s="2"/>
    </row>
    <row r="22" spans="1:34">
      <c r="A22">
        <v>2</v>
      </c>
      <c r="B22">
        <v>400</v>
      </c>
      <c r="C22">
        <v>3</v>
      </c>
      <c r="D22">
        <f t="shared" si="3"/>
        <v>1</v>
      </c>
      <c r="E22">
        <f>IF(G22&lt;1,1,0)</f>
        <v>1</v>
      </c>
      <c r="F22" s="9">
        <v>142.119</v>
      </c>
      <c r="G22" s="9">
        <v>0.581009</v>
      </c>
      <c r="H22" s="9">
        <v>0.13050899999999999</v>
      </c>
      <c r="J22" s="3"/>
      <c r="K22" s="2"/>
      <c r="Q22" s="2"/>
    </row>
    <row r="23" spans="1:34">
      <c r="A23">
        <v>2</v>
      </c>
      <c r="B23">
        <v>400</v>
      </c>
      <c r="C23">
        <v>4</v>
      </c>
      <c r="D23">
        <f t="shared" si="3"/>
        <v>1</v>
      </c>
      <c r="E23">
        <f>IF(G23&lt;1,1,0)</f>
        <v>1</v>
      </c>
      <c r="F23" s="9">
        <v>38.915199999999999</v>
      </c>
      <c r="G23" s="9">
        <v>0</v>
      </c>
      <c r="H23" s="9">
        <v>4.0507000000000001E-2</v>
      </c>
      <c r="I23" s="3"/>
      <c r="J23" s="2"/>
      <c r="P23" s="2"/>
    </row>
    <row r="24" spans="1:34">
      <c r="A24">
        <v>2</v>
      </c>
      <c r="B24">
        <v>400</v>
      </c>
      <c r="C24">
        <v>5</v>
      </c>
      <c r="D24">
        <f t="shared" si="3"/>
        <v>1</v>
      </c>
      <c r="E24">
        <f>IF(G24&lt;1,1,0)</f>
        <v>1</v>
      </c>
      <c r="F24" s="9">
        <v>95.059799999999996</v>
      </c>
      <c r="G24" s="9">
        <v>0</v>
      </c>
      <c r="H24" s="9">
        <v>5.0439999999999999E-2</v>
      </c>
      <c r="I24" s="2"/>
      <c r="O24" s="2"/>
    </row>
    <row r="25" spans="1:34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122.21459999999999</v>
      </c>
      <c r="G25" s="10">
        <f>($D20*G20+$D21*G21+$D22*G22+$D23*G23+$D24*G24)/$D25</f>
        <v>0.11620179999999999</v>
      </c>
      <c r="H25" s="10">
        <f>AVERAGE(H20:H24)</f>
        <v>0.10760220000000001</v>
      </c>
      <c r="I25"/>
      <c r="J25"/>
      <c r="K25"/>
      <c r="L25"/>
      <c r="M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>
      <c r="A26">
        <v>2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168.66</v>
      </c>
      <c r="G26" s="9">
        <v>0</v>
      </c>
      <c r="H26" s="9">
        <v>3.0335999999999998E-2</v>
      </c>
      <c r="M26" s="2"/>
    </row>
    <row r="27" spans="1:34">
      <c r="A27">
        <v>2</v>
      </c>
      <c r="B27">
        <v>500</v>
      </c>
      <c r="C27">
        <v>2</v>
      </c>
      <c r="D27">
        <f t="shared" ref="D27:D30" si="4">IF(F27&lt;9999,1,0)</f>
        <v>1</v>
      </c>
      <c r="E27">
        <f>IF(G27&lt;1,1,0)</f>
        <v>1</v>
      </c>
      <c r="F27" s="9">
        <v>222.35400000000001</v>
      </c>
      <c r="G27" s="9">
        <v>0</v>
      </c>
      <c r="H27" s="9">
        <v>8.9595999999999995E-2</v>
      </c>
      <c r="L27" s="2"/>
    </row>
    <row r="28" spans="1:34">
      <c r="A28">
        <v>2</v>
      </c>
      <c r="B28">
        <v>500</v>
      </c>
      <c r="C28">
        <v>3</v>
      </c>
      <c r="D28">
        <f t="shared" si="4"/>
        <v>1</v>
      </c>
      <c r="E28">
        <f>IF(G28&lt;1,1,0)</f>
        <v>1</v>
      </c>
      <c r="F28" s="9">
        <v>154.208</v>
      </c>
      <c r="G28" s="9">
        <v>0</v>
      </c>
      <c r="H28" s="9">
        <v>3.6345299999999998</v>
      </c>
      <c r="K28" s="2"/>
    </row>
    <row r="29" spans="1:34">
      <c r="A29">
        <v>2</v>
      </c>
      <c r="B29">
        <v>500</v>
      </c>
      <c r="C29">
        <v>4</v>
      </c>
      <c r="D29">
        <f t="shared" si="4"/>
        <v>1</v>
      </c>
      <c r="E29">
        <f>IF(G29&lt;1,1,0)</f>
        <v>1</v>
      </c>
      <c r="F29" s="9">
        <v>367.94400000000002</v>
      </c>
      <c r="G29" s="9">
        <v>0.83238699999999999</v>
      </c>
      <c r="H29" s="9">
        <v>0.76053899999999997</v>
      </c>
      <c r="J29" s="2"/>
    </row>
    <row r="30" spans="1:34">
      <c r="A30">
        <v>2</v>
      </c>
      <c r="B30">
        <v>500</v>
      </c>
      <c r="C30">
        <v>5</v>
      </c>
      <c r="D30">
        <f t="shared" si="4"/>
        <v>1</v>
      </c>
      <c r="E30">
        <f>IF(G30&lt;1,1,0)</f>
        <v>1</v>
      </c>
      <c r="F30" s="9">
        <v>118.236</v>
      </c>
      <c r="G30" s="9">
        <v>0</v>
      </c>
      <c r="H30" s="9">
        <v>1.1617900000000001</v>
      </c>
      <c r="I30" s="2"/>
    </row>
    <row r="31" spans="1:34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206.28040000000001</v>
      </c>
      <c r="G31" s="10">
        <f>($D26*G26+$D27*G27+$D28*G28+$D29*G29+$D30*G30)/$D31</f>
        <v>0.1664774</v>
      </c>
      <c r="H31" s="10">
        <f>AVERAGE(H26:H30)</f>
        <v>1.1353582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139.38515200000001</v>
      </c>
      <c r="G33" s="11">
        <f>(G7*$D7+G13*$D13+G19*$D19+G25*$D25+G31*$D31)/($D7+$D13+$D19+$D25+$D31)</f>
        <v>0.24983471999999998</v>
      </c>
      <c r="H33" s="11">
        <f>AVERAGE(H7,H13,H19,H25,H31)</f>
        <v>0.29583219999999999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C17-C7CF-43B8-B59B-D85A075B17C4}">
  <dimension ref="A1:AI33"/>
  <sheetViews>
    <sheetView workbookViewId="0">
      <selection activeCell="F24" sqref="F24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M1" s="2"/>
      <c r="S1" s="2"/>
      <c r="Y1" s="2"/>
      <c r="AD1" s="3"/>
      <c r="AE1" s="2"/>
    </row>
    <row r="2" spans="1:35">
      <c r="A2">
        <v>4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108.773</v>
      </c>
      <c r="G2" s="9">
        <v>2.7624099999999999E-2</v>
      </c>
      <c r="H2" s="9">
        <v>0.40148600000000001</v>
      </c>
      <c r="L2" s="2"/>
      <c r="R2" s="2"/>
      <c r="X2" s="2"/>
      <c r="AC2" s="3"/>
      <c r="AD2" s="2"/>
    </row>
    <row r="3" spans="1:35">
      <c r="A3">
        <v>4</v>
      </c>
      <c r="B3">
        <v>100</v>
      </c>
      <c r="C3">
        <v>2</v>
      </c>
      <c r="D3">
        <f t="shared" ref="D3:D6" si="0">IF(F3&lt;9999,1,0)</f>
        <v>1</v>
      </c>
      <c r="E3">
        <f>IF(G3&lt;1,1,0)</f>
        <v>1</v>
      </c>
      <c r="F3" s="9">
        <v>156.173</v>
      </c>
      <c r="G3" s="9">
        <v>0.56214600000000003</v>
      </c>
      <c r="H3" s="9">
        <v>0.80036700000000005</v>
      </c>
      <c r="K3" s="2"/>
      <c r="Q3" s="2"/>
      <c r="W3" s="2"/>
      <c r="AB3" s="3"/>
      <c r="AC3" s="2"/>
    </row>
    <row r="4" spans="1:35">
      <c r="A4">
        <v>4</v>
      </c>
      <c r="B4">
        <v>100</v>
      </c>
      <c r="C4">
        <v>3</v>
      </c>
      <c r="D4">
        <f t="shared" si="0"/>
        <v>1</v>
      </c>
      <c r="E4">
        <f>IF(G4&lt;1,1,0)</f>
        <v>1</v>
      </c>
      <c r="F4" s="9">
        <v>232.43799999999999</v>
      </c>
      <c r="G4" s="9">
        <v>0.99530399999999997</v>
      </c>
      <c r="H4" s="9">
        <v>8.1961600000000008</v>
      </c>
      <c r="J4" s="2"/>
      <c r="P4" s="2"/>
      <c r="V4" s="2"/>
      <c r="AA4" s="3"/>
      <c r="AB4" s="2"/>
      <c r="AH4" s="2"/>
    </row>
    <row r="5" spans="1:35">
      <c r="A5">
        <v>4</v>
      </c>
      <c r="B5">
        <v>100</v>
      </c>
      <c r="C5">
        <v>4</v>
      </c>
      <c r="D5">
        <f t="shared" si="0"/>
        <v>1</v>
      </c>
      <c r="E5">
        <f>IF(G5&lt;1,1,0)</f>
        <v>1</v>
      </c>
      <c r="F5" s="9">
        <v>326.78800000000001</v>
      </c>
      <c r="G5" s="9">
        <v>0.97202599999999995</v>
      </c>
      <c r="H5" s="9">
        <v>9.1590799999999994</v>
      </c>
      <c r="I5" s="2"/>
      <c r="O5" s="2"/>
      <c r="U5" s="2"/>
      <c r="Z5" s="3"/>
      <c r="AA5" s="2"/>
      <c r="AG5" s="2"/>
      <c r="AI5" s="2"/>
    </row>
    <row r="6" spans="1:35">
      <c r="A6">
        <v>4</v>
      </c>
      <c r="B6">
        <v>100</v>
      </c>
      <c r="C6">
        <v>5</v>
      </c>
      <c r="D6">
        <f t="shared" si="0"/>
        <v>1</v>
      </c>
      <c r="E6">
        <f>IF(G6&lt;1,1,0)</f>
        <v>1</v>
      </c>
      <c r="F6" s="9">
        <v>245.94800000000001</v>
      </c>
      <c r="G6" s="9">
        <v>0.466775</v>
      </c>
      <c r="H6" s="9">
        <v>0.33380900000000002</v>
      </c>
    </row>
    <row r="7" spans="1:35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214.02400000000003</v>
      </c>
      <c r="G7" s="10">
        <f>($D2*G2+$D3*G3+$D4*G4+$D5*G5+$D6*G6)/$D7</f>
        <v>0.60477502000000005</v>
      </c>
      <c r="H7" s="10">
        <f>AVERAGE(H2:H6)</f>
        <v>3.7781804000000001</v>
      </c>
      <c r="I7"/>
      <c r="J7"/>
      <c r="K7"/>
      <c r="L7"/>
      <c r="N7"/>
      <c r="O7"/>
      <c r="P7"/>
      <c r="Q7"/>
      <c r="R7"/>
      <c r="T7"/>
      <c r="U7"/>
      <c r="V7"/>
      <c r="W7"/>
      <c r="X7" s="3"/>
      <c r="Z7"/>
      <c r="AA7"/>
      <c r="AB7"/>
      <c r="AC7"/>
      <c r="AD7"/>
      <c r="AF7"/>
      <c r="AG7"/>
      <c r="AH7"/>
    </row>
    <row r="8" spans="1:35">
      <c r="A8">
        <v>4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214.69900000000001</v>
      </c>
      <c r="G8" s="9">
        <v>0.59186499999999997</v>
      </c>
      <c r="H8" s="9">
        <v>1.7376400000000001</v>
      </c>
      <c r="L8" s="2"/>
      <c r="R8" s="2"/>
      <c r="W8" s="3"/>
      <c r="X8" s="2"/>
      <c r="AD8" s="2"/>
    </row>
    <row r="9" spans="1:35">
      <c r="A9">
        <v>4</v>
      </c>
      <c r="B9">
        <v>200</v>
      </c>
      <c r="C9">
        <v>2</v>
      </c>
      <c r="D9">
        <f t="shared" ref="D9:D12" si="1">IF(F9&lt;9999,1,0)</f>
        <v>1</v>
      </c>
      <c r="E9">
        <f>IF(G9&lt;1,1,0)</f>
        <v>1</v>
      </c>
      <c r="F9" s="9">
        <v>184.55500000000001</v>
      </c>
      <c r="G9" s="9">
        <v>0.81537099999999996</v>
      </c>
      <c r="H9" s="9">
        <v>2.6956500000000001</v>
      </c>
      <c r="K9" s="2"/>
      <c r="Q9" s="2"/>
      <c r="V9" s="3"/>
      <c r="W9" s="2"/>
      <c r="AC9" s="2"/>
    </row>
    <row r="10" spans="1:35">
      <c r="A10">
        <v>4</v>
      </c>
      <c r="B10">
        <v>200</v>
      </c>
      <c r="C10">
        <v>3</v>
      </c>
      <c r="D10">
        <f t="shared" si="1"/>
        <v>1</v>
      </c>
      <c r="E10">
        <f>IF(G10&lt;1,1,0)</f>
        <v>1</v>
      </c>
      <c r="F10" s="9">
        <v>198.53200000000001</v>
      </c>
      <c r="G10" s="9">
        <v>0.70903300000000002</v>
      </c>
      <c r="H10" s="9">
        <v>17.240300000000001</v>
      </c>
      <c r="J10" s="2"/>
      <c r="P10" s="2"/>
      <c r="U10" s="3"/>
      <c r="V10" s="2"/>
      <c r="AB10" s="2"/>
    </row>
    <row r="11" spans="1:35">
      <c r="A11">
        <v>4</v>
      </c>
      <c r="B11">
        <v>200</v>
      </c>
      <c r="C11">
        <v>4</v>
      </c>
      <c r="D11">
        <f t="shared" si="1"/>
        <v>1</v>
      </c>
      <c r="E11">
        <f>IF(G11&lt;1,1,0)</f>
        <v>1</v>
      </c>
      <c r="F11" s="9">
        <v>282.863</v>
      </c>
      <c r="G11" s="9">
        <v>0.75226199999999999</v>
      </c>
      <c r="H11" s="9">
        <v>1.3371999999999999</v>
      </c>
      <c r="I11" s="2"/>
      <c r="O11" s="2"/>
      <c r="T11" s="3"/>
      <c r="U11" s="2"/>
      <c r="AA11" s="2"/>
    </row>
    <row r="12" spans="1:35">
      <c r="A12">
        <v>4</v>
      </c>
      <c r="B12">
        <v>200</v>
      </c>
      <c r="C12">
        <v>5</v>
      </c>
      <c r="D12">
        <f t="shared" si="1"/>
        <v>1</v>
      </c>
      <c r="E12">
        <f>IF(G12&lt;1,1,0)</f>
        <v>1</v>
      </c>
      <c r="F12" s="9">
        <v>112.76600000000001</v>
      </c>
      <c r="G12" s="9">
        <v>0.67040699999999998</v>
      </c>
      <c r="H12" s="9">
        <v>0.37751800000000002</v>
      </c>
      <c r="N12" s="2"/>
      <c r="T12" s="2"/>
      <c r="Z12" s="2"/>
    </row>
    <row r="13" spans="1:35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198.68300000000002</v>
      </c>
      <c r="G13" s="10">
        <f>($D8*G8+$D9*G9+$D10*G10+$D11*G11+$D12*G12)/$D13</f>
        <v>0.70778759999999996</v>
      </c>
      <c r="H13" s="10">
        <f>AVERAGE(H8:H12)</f>
        <v>4.6776615999999995</v>
      </c>
      <c r="I13"/>
      <c r="J13"/>
      <c r="K13"/>
      <c r="L13"/>
      <c r="N13"/>
      <c r="O13"/>
      <c r="P13"/>
      <c r="Q13"/>
      <c r="R13" s="3"/>
      <c r="T13"/>
      <c r="U13"/>
      <c r="V13"/>
      <c r="W13"/>
      <c r="X13"/>
      <c r="Z13"/>
      <c r="AA13"/>
      <c r="AB13"/>
      <c r="AC13"/>
      <c r="AD13"/>
      <c r="AE13"/>
      <c r="AF13"/>
      <c r="AG13"/>
      <c r="AH13"/>
    </row>
    <row r="14" spans="1:35">
      <c r="A14">
        <v>4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154.24799999999999</v>
      </c>
      <c r="G14" s="9">
        <v>0.39926099999999998</v>
      </c>
      <c r="H14" s="9">
        <v>0.94968399999999997</v>
      </c>
      <c r="L14" s="2"/>
      <c r="Q14" s="3"/>
      <c r="R14" s="2"/>
      <c r="X14" s="2"/>
    </row>
    <row r="15" spans="1:35">
      <c r="A15">
        <v>4</v>
      </c>
      <c r="B15">
        <v>300</v>
      </c>
      <c r="C15">
        <v>2</v>
      </c>
      <c r="D15">
        <f t="shared" ref="D15:D18" si="2">IF(F15&lt;9999,1,0)</f>
        <v>1</v>
      </c>
      <c r="E15">
        <f>IF(G15&lt;1,1,0)</f>
        <v>1</v>
      </c>
      <c r="F15" s="9">
        <v>177.22800000000001</v>
      </c>
      <c r="G15" s="9">
        <v>0.53332599999999997</v>
      </c>
      <c r="H15" s="9">
        <v>1.31768</v>
      </c>
      <c r="K15" s="2"/>
      <c r="P15" s="3"/>
      <c r="Q15" s="2"/>
      <c r="W15" s="2"/>
    </row>
    <row r="16" spans="1:35">
      <c r="A16">
        <v>4</v>
      </c>
      <c r="B16">
        <v>300</v>
      </c>
      <c r="C16">
        <v>3</v>
      </c>
      <c r="D16">
        <f t="shared" si="2"/>
        <v>1</v>
      </c>
      <c r="E16">
        <f>IF(G16&lt;1,1,0)</f>
        <v>1</v>
      </c>
      <c r="F16" s="9">
        <v>202.249</v>
      </c>
      <c r="G16" s="9">
        <v>0.44938699999999998</v>
      </c>
      <c r="H16" s="9">
        <v>5.2272299999999996</v>
      </c>
      <c r="J16" s="2"/>
      <c r="O16" s="3"/>
      <c r="P16" s="2"/>
      <c r="V16" s="2"/>
    </row>
    <row r="17" spans="1:35">
      <c r="A17">
        <v>4</v>
      </c>
      <c r="B17">
        <v>300</v>
      </c>
      <c r="C17">
        <v>4</v>
      </c>
      <c r="D17">
        <f t="shared" si="2"/>
        <v>1</v>
      </c>
      <c r="E17">
        <f>IF(G17&lt;1,1,0)</f>
        <v>1</v>
      </c>
      <c r="F17" s="9">
        <v>144.68199999999999</v>
      </c>
      <c r="G17" s="9">
        <v>0.36101100000000003</v>
      </c>
      <c r="H17" s="9">
        <v>0.289466</v>
      </c>
      <c r="I17" s="2"/>
      <c r="N17" s="3"/>
      <c r="O17" s="2"/>
      <c r="U17" s="2"/>
    </row>
    <row r="18" spans="1:35">
      <c r="A18">
        <v>4</v>
      </c>
      <c r="B18">
        <v>300</v>
      </c>
      <c r="C18">
        <v>5</v>
      </c>
      <c r="D18">
        <f t="shared" si="2"/>
        <v>1</v>
      </c>
      <c r="E18">
        <f>IF(G18&lt;1,1,0)</f>
        <v>1</v>
      </c>
      <c r="F18" s="9">
        <v>148.941</v>
      </c>
      <c r="G18" s="9">
        <v>0.99285800000000002</v>
      </c>
      <c r="H18" s="9">
        <v>112.55200000000001</v>
      </c>
      <c r="N18" s="2"/>
      <c r="T18" s="2"/>
    </row>
    <row r="19" spans="1:35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165.46960000000001</v>
      </c>
      <c r="G19" s="10">
        <f>($D14*G14+$D15*G15+$D16*G16+$D17*G17+$D18*G18)/$D19</f>
        <v>0.5471686</v>
      </c>
      <c r="H19" s="10">
        <f>AVERAGE(H14:H18)</f>
        <v>24.067212000000001</v>
      </c>
      <c r="I19"/>
      <c r="J19"/>
      <c r="K19"/>
      <c r="L19" s="3"/>
      <c r="N19"/>
      <c r="O19"/>
      <c r="P19"/>
      <c r="Q19"/>
      <c r="R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5">
      <c r="A20">
        <v>4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120.285</v>
      </c>
      <c r="G20" s="9">
        <v>0.43800299999999998</v>
      </c>
      <c r="H20" s="9">
        <v>0.14971499999999999</v>
      </c>
      <c r="K20" s="3"/>
      <c r="L20" s="2"/>
      <c r="R20" s="2"/>
    </row>
    <row r="21" spans="1:35">
      <c r="A21">
        <v>4</v>
      </c>
      <c r="B21">
        <v>400</v>
      </c>
      <c r="C21">
        <v>2</v>
      </c>
      <c r="D21">
        <f t="shared" ref="D21:D24" si="3">IF(F21&lt;9999,1,0)</f>
        <v>1</v>
      </c>
      <c r="E21">
        <f>IF(G21&lt;1,1,0)</f>
        <v>1</v>
      </c>
      <c r="F21" s="9">
        <v>439.54899999999998</v>
      </c>
      <c r="G21" s="9">
        <v>0.11905399999999999</v>
      </c>
      <c r="H21" s="9">
        <v>1.31477</v>
      </c>
      <c r="J21" s="3"/>
      <c r="K21" s="2"/>
      <c r="Q21" s="2"/>
    </row>
    <row r="22" spans="1:35">
      <c r="A22">
        <v>4</v>
      </c>
      <c r="B22">
        <v>400</v>
      </c>
      <c r="C22">
        <v>3</v>
      </c>
      <c r="D22">
        <f t="shared" si="3"/>
        <v>1</v>
      </c>
      <c r="E22">
        <f>IF(G22&lt;1,1,0)</f>
        <v>1</v>
      </c>
      <c r="F22" s="9">
        <v>258.95600000000002</v>
      </c>
      <c r="G22" s="9">
        <v>0.18267</v>
      </c>
      <c r="H22" s="9">
        <v>1.3425100000000001</v>
      </c>
      <c r="I22" s="3"/>
      <c r="J22" s="2"/>
      <c r="P22" s="2"/>
    </row>
    <row r="23" spans="1:35">
      <c r="A23">
        <v>4</v>
      </c>
      <c r="B23">
        <v>400</v>
      </c>
      <c r="C23">
        <v>4</v>
      </c>
      <c r="D23">
        <f t="shared" si="3"/>
        <v>1</v>
      </c>
      <c r="E23">
        <f>IF(G23&lt;1,1,0)</f>
        <v>1</v>
      </c>
      <c r="F23" s="9">
        <v>167.01400000000001</v>
      </c>
      <c r="G23" s="9">
        <v>0.34895700000000002</v>
      </c>
      <c r="H23" s="9">
        <v>3.4988600000000001</v>
      </c>
      <c r="I23" s="2"/>
      <c r="O23" s="2"/>
    </row>
    <row r="24" spans="1:35" s="3" customFormat="1">
      <c r="A24">
        <v>4</v>
      </c>
      <c r="B24" s="3">
        <v>400</v>
      </c>
      <c r="C24" s="3">
        <v>5</v>
      </c>
      <c r="D24">
        <f t="shared" si="3"/>
        <v>1</v>
      </c>
      <c r="E24">
        <f>IF(G24&lt;1,1,0)</f>
        <v>1</v>
      </c>
      <c r="F24" s="9">
        <v>146.548</v>
      </c>
      <c r="G24" s="9">
        <v>0.968642</v>
      </c>
      <c r="H24" s="9">
        <v>34.275100000000002</v>
      </c>
      <c r="I24"/>
      <c r="J24"/>
      <c r="K24"/>
      <c r="L24"/>
      <c r="M24"/>
      <c r="N24" s="2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226.47039999999998</v>
      </c>
      <c r="G25" s="10">
        <f>($D20*G20+$D21*G21+$D22*G22+$D23*G23+$D24*G24)/$D25</f>
        <v>0.41146519999999998</v>
      </c>
      <c r="H25" s="10">
        <f>AVERAGE(H20:H24)</f>
        <v>8.1161910000000006</v>
      </c>
      <c r="I25"/>
      <c r="J25"/>
      <c r="K25"/>
      <c r="L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5">
      <c r="A26">
        <v>4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371.5</v>
      </c>
      <c r="G26" s="9">
        <v>0.99902800000000003</v>
      </c>
      <c r="H26" s="9">
        <v>18.332899999999999</v>
      </c>
      <c r="L26" s="2"/>
    </row>
    <row r="27" spans="1:35">
      <c r="A27">
        <v>4</v>
      </c>
      <c r="B27">
        <v>500</v>
      </c>
      <c r="C27">
        <v>2</v>
      </c>
      <c r="D27">
        <f t="shared" ref="D27:D30" si="4">IF(F27&lt;9999,1,0)</f>
        <v>1</v>
      </c>
      <c r="E27">
        <f>IF(G27&lt;1,1,0)</f>
        <v>1</v>
      </c>
      <c r="F27" s="9">
        <v>248.97900000000001</v>
      </c>
      <c r="G27" s="9">
        <v>0.45493400000000001</v>
      </c>
      <c r="H27" s="9">
        <v>1.39513</v>
      </c>
      <c r="K27" s="2"/>
    </row>
    <row r="28" spans="1:35">
      <c r="A28">
        <v>4</v>
      </c>
      <c r="B28">
        <v>500</v>
      </c>
      <c r="C28">
        <v>3</v>
      </c>
      <c r="D28">
        <f t="shared" si="4"/>
        <v>1</v>
      </c>
      <c r="E28">
        <f>IF(G28&lt;1,1,0)</f>
        <v>1</v>
      </c>
      <c r="F28" s="9">
        <v>155.715</v>
      </c>
      <c r="G28" s="9">
        <v>0.49932399999999999</v>
      </c>
      <c r="H28" s="9">
        <v>2.1505999999999998</v>
      </c>
      <c r="J28" s="2"/>
    </row>
    <row r="29" spans="1:35">
      <c r="A29">
        <v>4</v>
      </c>
      <c r="B29">
        <v>500</v>
      </c>
      <c r="C29">
        <v>4</v>
      </c>
      <c r="D29">
        <f t="shared" si="4"/>
        <v>1</v>
      </c>
      <c r="E29">
        <f>IF(G29&lt;1,1,0)</f>
        <v>1</v>
      </c>
      <c r="F29" s="9">
        <v>214.03800000000001</v>
      </c>
      <c r="G29" s="9">
        <v>0.95864199999999999</v>
      </c>
      <c r="H29" s="9">
        <v>23.6629</v>
      </c>
      <c r="I29" s="2"/>
    </row>
    <row r="30" spans="1:35">
      <c r="A30">
        <v>4</v>
      </c>
      <c r="B30">
        <v>500</v>
      </c>
      <c r="C30">
        <v>5</v>
      </c>
      <c r="D30">
        <f t="shared" si="4"/>
        <v>1</v>
      </c>
      <c r="E30">
        <f>IF(G30&lt;1,1,0)</f>
        <v>1</v>
      </c>
      <c r="F30" s="9">
        <v>187.64599999999999</v>
      </c>
      <c r="G30" s="9">
        <v>0.78721099999999999</v>
      </c>
      <c r="H30" s="9">
        <v>0.70478099999999999</v>
      </c>
    </row>
    <row r="31" spans="1:35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235.57560000000004</v>
      </c>
      <c r="G31" s="10">
        <f>($D26*G26+$D27*G27+$D28*G28+$D29*G29+$D30*G30)/$D31</f>
        <v>0.73982779999999992</v>
      </c>
      <c r="H31" s="10">
        <f>AVERAGE(H26:H30)</f>
        <v>9.2492621999999987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208.04452000000001</v>
      </c>
      <c r="G33" s="11">
        <f>(G7*$D7+G13*$D13+G19*$D19+G25*$D25+G31*$D31)/($D7+$D13+$D19+$D25+$D31)</f>
        <v>0.60220484399999985</v>
      </c>
      <c r="H33" s="11">
        <f>AVERAGE(H7,H13,H19,H25,H31)</f>
        <v>9.9777014400000006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CD6-AFB7-4163-8FF8-B16393B13EB3}">
  <dimension ref="A1:AH33"/>
  <sheetViews>
    <sheetView workbookViewId="0">
      <selection activeCell="J28" sqref="J28"/>
    </sheetView>
  </sheetViews>
  <sheetFormatPr defaultRowHeight="15"/>
  <cols>
    <col min="6" max="6" width="9.42578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M1" s="2"/>
      <c r="S1" s="2"/>
      <c r="Y1" s="2"/>
      <c r="AD1" s="3"/>
      <c r="AE1" s="2"/>
    </row>
    <row r="2" spans="1:34">
      <c r="A2">
        <v>6</v>
      </c>
      <c r="B2">
        <v>100</v>
      </c>
      <c r="C2">
        <v>1</v>
      </c>
      <c r="D2">
        <f>IF(F2&lt;9999,1,0)</f>
        <v>1</v>
      </c>
      <c r="E2">
        <f>IF(G2&lt;1,1,0)</f>
        <v>0</v>
      </c>
      <c r="F2" s="9">
        <v>619.83100000000002</v>
      </c>
      <c r="G2" s="9">
        <v>100</v>
      </c>
      <c r="H2" s="9">
        <v>1800.02</v>
      </c>
      <c r="L2" s="2"/>
      <c r="R2" s="2"/>
      <c r="X2" s="2"/>
      <c r="AC2" s="3"/>
      <c r="AD2" s="2"/>
    </row>
    <row r="3" spans="1:34">
      <c r="A3">
        <v>6</v>
      </c>
      <c r="B3">
        <v>100</v>
      </c>
      <c r="C3">
        <v>2</v>
      </c>
      <c r="D3">
        <f t="shared" ref="D3:D6" si="0">IF(F3&lt;9999,1,0)</f>
        <v>1</v>
      </c>
      <c r="E3">
        <f>IF(G3&lt;1,1,0)</f>
        <v>1</v>
      </c>
      <c r="F3" s="9">
        <v>282.36099999999999</v>
      </c>
      <c r="G3" s="9">
        <v>0.36924600000000002</v>
      </c>
      <c r="H3" s="9">
        <v>3.4066399999999999</v>
      </c>
      <c r="K3" s="2"/>
      <c r="Q3" s="2"/>
      <c r="W3" s="2"/>
      <c r="AB3" s="3"/>
      <c r="AC3" s="2"/>
    </row>
    <row r="4" spans="1:34">
      <c r="A4">
        <v>6</v>
      </c>
      <c r="B4">
        <v>100</v>
      </c>
      <c r="C4">
        <v>3</v>
      </c>
      <c r="D4">
        <f t="shared" si="0"/>
        <v>1</v>
      </c>
      <c r="E4">
        <f>IF(G4&lt;1,1,0)</f>
        <v>1</v>
      </c>
      <c r="F4" s="9">
        <v>481.87099999999998</v>
      </c>
      <c r="G4" s="9">
        <v>0.99626999999999999</v>
      </c>
      <c r="H4" s="9">
        <v>83.575100000000006</v>
      </c>
      <c r="J4" s="2"/>
      <c r="P4" s="2"/>
      <c r="V4" s="2"/>
      <c r="AA4" s="3"/>
      <c r="AB4" s="2"/>
      <c r="AH4" s="2"/>
    </row>
    <row r="5" spans="1:34">
      <c r="A5">
        <v>6</v>
      </c>
      <c r="B5">
        <v>100</v>
      </c>
      <c r="C5">
        <v>4</v>
      </c>
      <c r="D5">
        <f t="shared" si="0"/>
        <v>1</v>
      </c>
      <c r="E5">
        <f>IF(G5&lt;1,1,0)</f>
        <v>1</v>
      </c>
      <c r="F5" s="9">
        <v>266.77699999999999</v>
      </c>
      <c r="G5" s="9">
        <v>0.36074000000000001</v>
      </c>
      <c r="H5" s="9">
        <v>4.6163400000000001</v>
      </c>
      <c r="I5" s="2"/>
      <c r="O5" s="2"/>
      <c r="U5" s="2"/>
      <c r="Z5" s="3"/>
      <c r="AA5" s="2"/>
      <c r="AG5" s="2"/>
    </row>
    <row r="6" spans="1:34">
      <c r="A6">
        <v>6</v>
      </c>
      <c r="B6">
        <v>100</v>
      </c>
      <c r="C6">
        <v>5</v>
      </c>
      <c r="D6">
        <f t="shared" si="0"/>
        <v>1</v>
      </c>
      <c r="E6">
        <f>IF(G6&lt;1,1,0)</f>
        <v>0</v>
      </c>
      <c r="F6" s="9">
        <v>430.39800000000002</v>
      </c>
      <c r="G6" s="9">
        <v>100</v>
      </c>
      <c r="H6" s="9">
        <v>1800.05</v>
      </c>
    </row>
    <row r="7" spans="1:34">
      <c r="A7" s="14" t="s">
        <v>6</v>
      </c>
      <c r="B7" s="14"/>
      <c r="C7" s="14"/>
      <c r="D7" s="8">
        <f>SUM(D2:D6)</f>
        <v>5</v>
      </c>
      <c r="E7" s="4">
        <f>SUM(E2:E6)</f>
        <v>3</v>
      </c>
      <c r="F7" s="10">
        <f>($D2*F2+$D3*F3+$D4*F4+$D5*F5+$D6*F6)/$D7</f>
        <v>416.24760000000003</v>
      </c>
      <c r="G7" s="10">
        <f>($D2*G2+$D3*G3+$D4*G4+$D5*G5+$D6*G6)/$D7</f>
        <v>40.3452512</v>
      </c>
      <c r="H7" s="10">
        <f>AVERAGE(H2:H6)</f>
        <v>738.33361600000001</v>
      </c>
      <c r="M7" s="2"/>
      <c r="S7" s="2"/>
      <c r="X7" s="3"/>
      <c r="Y7" s="2"/>
      <c r="AE7" s="2"/>
    </row>
    <row r="8" spans="1:34">
      <c r="A8">
        <v>6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556.34</v>
      </c>
      <c r="G8" s="9">
        <v>0.98270999999999997</v>
      </c>
      <c r="H8" s="9">
        <v>25.044699999999999</v>
      </c>
      <c r="L8" s="2"/>
      <c r="R8" s="2"/>
      <c r="W8" s="3"/>
      <c r="X8" s="2"/>
      <c r="AD8" s="2"/>
    </row>
    <row r="9" spans="1:34">
      <c r="A9">
        <v>6</v>
      </c>
      <c r="B9">
        <v>200</v>
      </c>
      <c r="C9">
        <v>2</v>
      </c>
      <c r="D9">
        <f t="shared" ref="D9:D12" si="1">IF(F9&lt;9999,1,0)</f>
        <v>1</v>
      </c>
      <c r="E9">
        <f>IF(G9&lt;1,1,0)</f>
        <v>1</v>
      </c>
      <c r="F9" s="9">
        <v>395.10300000000001</v>
      </c>
      <c r="G9" s="9">
        <v>0.97061399999999998</v>
      </c>
      <c r="H9" s="9">
        <v>12.724399999999999</v>
      </c>
      <c r="K9" s="2"/>
      <c r="Q9" s="2"/>
      <c r="V9" s="3"/>
      <c r="W9" s="2"/>
      <c r="AC9" s="2"/>
    </row>
    <row r="10" spans="1:34">
      <c r="A10">
        <v>6</v>
      </c>
      <c r="B10">
        <v>200</v>
      </c>
      <c r="C10">
        <v>3</v>
      </c>
      <c r="D10">
        <f t="shared" si="1"/>
        <v>1</v>
      </c>
      <c r="E10">
        <f>IF(G10&lt;1,1,0)</f>
        <v>0</v>
      </c>
      <c r="F10" s="9">
        <v>238.54599999999999</v>
      </c>
      <c r="G10" s="9">
        <v>1.05941</v>
      </c>
      <c r="H10" s="9">
        <v>1800.04</v>
      </c>
      <c r="J10" s="2"/>
      <c r="P10" s="2"/>
      <c r="U10" s="3"/>
      <c r="V10" s="2"/>
      <c r="AB10" s="2"/>
    </row>
    <row r="11" spans="1:34">
      <c r="A11">
        <v>6</v>
      </c>
      <c r="B11">
        <v>200</v>
      </c>
      <c r="C11">
        <v>4</v>
      </c>
      <c r="D11">
        <f t="shared" si="1"/>
        <v>1</v>
      </c>
      <c r="E11">
        <f>IF(G11&lt;1,1,0)</f>
        <v>0</v>
      </c>
      <c r="F11" s="9">
        <v>841.51900000000001</v>
      </c>
      <c r="G11" s="9">
        <v>100</v>
      </c>
      <c r="H11" s="9">
        <v>1801.21</v>
      </c>
      <c r="I11" s="2"/>
      <c r="O11" s="2"/>
      <c r="T11" s="3"/>
      <c r="U11" s="2"/>
      <c r="AA11" s="2"/>
    </row>
    <row r="12" spans="1:34">
      <c r="A12">
        <v>6</v>
      </c>
      <c r="B12">
        <v>200</v>
      </c>
      <c r="C12">
        <v>5</v>
      </c>
      <c r="D12">
        <f t="shared" si="1"/>
        <v>1</v>
      </c>
      <c r="E12">
        <f>IF(G12&lt;1,1,0)</f>
        <v>1</v>
      </c>
      <c r="F12" s="9">
        <v>232.18199999999999</v>
      </c>
      <c r="G12" s="9">
        <v>0.69922099999999998</v>
      </c>
      <c r="H12" s="9">
        <v>94.719300000000004</v>
      </c>
      <c r="N12" s="2"/>
      <c r="T12" s="2"/>
      <c r="Z12" s="2"/>
    </row>
    <row r="13" spans="1:34">
      <c r="A13" s="14" t="s">
        <v>6</v>
      </c>
      <c r="B13" s="14"/>
      <c r="C13" s="14"/>
      <c r="D13" s="8">
        <f>SUM(D8:D12)</f>
        <v>5</v>
      </c>
      <c r="E13" s="4">
        <f>SUM(E8:E12)</f>
        <v>3</v>
      </c>
      <c r="F13" s="10">
        <f>($D8*F8+$D9*F9+$D10*F10+$D11*F11+$D12*F12)/$D13</f>
        <v>452.738</v>
      </c>
      <c r="G13" s="10">
        <f>($D8*G8+$D9*G9+$D10*G10+$D11*G11+$D12*G12)/$D13</f>
        <v>20.742390999999998</v>
      </c>
      <c r="H13" s="10">
        <f>AVERAGE(H8:H12)</f>
        <v>746.74768000000006</v>
      </c>
      <c r="M13" s="2"/>
      <c r="R13" s="3"/>
      <c r="S13" s="2"/>
      <c r="Y13" s="2"/>
    </row>
    <row r="14" spans="1:34">
      <c r="A14">
        <v>6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661.33500000000004</v>
      </c>
      <c r="G14" s="9">
        <v>100</v>
      </c>
      <c r="H14" s="9">
        <v>1803.25</v>
      </c>
      <c r="L14" s="2"/>
      <c r="Q14" s="3"/>
      <c r="R14" s="2"/>
      <c r="X14" s="2"/>
    </row>
    <row r="15" spans="1:34">
      <c r="A15">
        <v>6</v>
      </c>
      <c r="B15">
        <v>300</v>
      </c>
      <c r="C15">
        <v>2</v>
      </c>
      <c r="D15">
        <f t="shared" ref="D15:D18" si="2">IF(F15&lt;9999,1,0)</f>
        <v>1</v>
      </c>
      <c r="E15">
        <f>IF(G15&lt;1,1,0)</f>
        <v>1</v>
      </c>
      <c r="F15" s="9">
        <v>258.21699999999998</v>
      </c>
      <c r="G15" s="9">
        <v>0.75249200000000005</v>
      </c>
      <c r="H15" s="9">
        <v>368.916</v>
      </c>
      <c r="K15" s="2"/>
      <c r="P15" s="3"/>
      <c r="Q15" s="2"/>
      <c r="W15" s="2"/>
    </row>
    <row r="16" spans="1:34">
      <c r="A16">
        <v>6</v>
      </c>
      <c r="B16">
        <v>300</v>
      </c>
      <c r="C16">
        <v>3</v>
      </c>
      <c r="D16">
        <f t="shared" si="2"/>
        <v>1</v>
      </c>
      <c r="E16">
        <f>IF(G16&lt;1,1,0)</f>
        <v>1</v>
      </c>
      <c r="F16" s="9">
        <v>194.572</v>
      </c>
      <c r="G16" s="9">
        <v>0.73112500000000002</v>
      </c>
      <c r="H16" s="9">
        <v>17.3047</v>
      </c>
      <c r="J16" s="2"/>
      <c r="O16" s="3"/>
      <c r="P16" s="2"/>
      <c r="V16" s="2"/>
    </row>
    <row r="17" spans="1:21">
      <c r="A17">
        <v>6</v>
      </c>
      <c r="B17">
        <v>300</v>
      </c>
      <c r="C17">
        <v>4</v>
      </c>
      <c r="D17">
        <f t="shared" si="2"/>
        <v>1</v>
      </c>
      <c r="E17">
        <f>IF(G17&lt;1,1,0)</f>
        <v>0</v>
      </c>
      <c r="F17" s="9">
        <v>591.65</v>
      </c>
      <c r="G17" s="9">
        <v>100</v>
      </c>
      <c r="H17" s="9">
        <v>1800.04</v>
      </c>
      <c r="I17" s="2"/>
      <c r="N17" s="3"/>
      <c r="O17" s="2"/>
      <c r="U17" s="2"/>
    </row>
    <row r="18" spans="1:21">
      <c r="A18">
        <v>6</v>
      </c>
      <c r="B18">
        <v>300</v>
      </c>
      <c r="C18">
        <v>5</v>
      </c>
      <c r="D18">
        <f t="shared" si="2"/>
        <v>1</v>
      </c>
      <c r="E18">
        <f>IF(G18&lt;1,1,0)</f>
        <v>1</v>
      </c>
      <c r="F18" s="9">
        <v>369.90699999999998</v>
      </c>
      <c r="G18" s="9">
        <v>0.99780199999999997</v>
      </c>
      <c r="H18" s="9">
        <v>460.62900000000002</v>
      </c>
      <c r="N18" s="2"/>
      <c r="T18" s="2"/>
    </row>
    <row r="19" spans="1:21">
      <c r="A19" s="14" t="s">
        <v>6</v>
      </c>
      <c r="B19" s="14"/>
      <c r="C19" s="14"/>
      <c r="D19" s="8">
        <f>SUM(D14:D18)</f>
        <v>5</v>
      </c>
      <c r="E19" s="4">
        <f>SUM(E14:E18)</f>
        <v>3</v>
      </c>
      <c r="F19" s="10">
        <f>($D14*F14+$D15*F15+$D16*F16+$D17*F17+$D18*F18)/$D19</f>
        <v>415.13620000000003</v>
      </c>
      <c r="G19" s="10">
        <f>($D14*G14+$D15*G15+$D16*G16+$D17*G17+$D18*G18)/$D19</f>
        <v>40.4962838</v>
      </c>
      <c r="H19" s="10">
        <f>AVERAGE(H14:H18)</f>
        <v>890.02794000000017</v>
      </c>
      <c r="L19" s="3"/>
      <c r="M19" s="2"/>
      <c r="S19" s="2"/>
    </row>
    <row r="20" spans="1:21">
      <c r="A20">
        <v>6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343.745</v>
      </c>
      <c r="G20" s="9">
        <v>2.5610599999999999</v>
      </c>
      <c r="H20" s="9">
        <v>1800.17</v>
      </c>
      <c r="K20" s="3"/>
      <c r="L20" s="2"/>
      <c r="R20" s="2"/>
    </row>
    <row r="21" spans="1:21">
      <c r="A21">
        <v>6</v>
      </c>
      <c r="B21">
        <v>400</v>
      </c>
      <c r="C21">
        <v>2</v>
      </c>
      <c r="D21">
        <f t="shared" ref="D21:D24" si="3">IF(F21&lt;9999,1,0)</f>
        <v>1</v>
      </c>
      <c r="E21">
        <f>IF(G21&lt;1,1,0)</f>
        <v>0</v>
      </c>
      <c r="F21" s="9">
        <v>836.75699999999995</v>
      </c>
      <c r="G21" s="9">
        <v>100</v>
      </c>
      <c r="H21" s="9">
        <v>1800.06</v>
      </c>
      <c r="J21" s="3"/>
      <c r="K21" s="2"/>
      <c r="Q21" s="2"/>
    </row>
    <row r="22" spans="1:21">
      <c r="A22">
        <v>6</v>
      </c>
      <c r="B22">
        <v>400</v>
      </c>
      <c r="C22">
        <v>3</v>
      </c>
      <c r="D22">
        <f t="shared" si="3"/>
        <v>1</v>
      </c>
      <c r="E22">
        <f>IF(G22&lt;1,1,0)</f>
        <v>1</v>
      </c>
      <c r="F22" s="9">
        <v>299.01299999999998</v>
      </c>
      <c r="G22" s="9">
        <v>0.43184899999999998</v>
      </c>
      <c r="H22" s="9">
        <v>16.269300000000001</v>
      </c>
      <c r="I22" s="3"/>
      <c r="J22" s="2"/>
      <c r="P22" s="2"/>
    </row>
    <row r="23" spans="1:21">
      <c r="A23">
        <v>6</v>
      </c>
      <c r="B23">
        <v>400</v>
      </c>
      <c r="C23">
        <v>4</v>
      </c>
      <c r="D23">
        <f t="shared" si="3"/>
        <v>1</v>
      </c>
      <c r="E23">
        <f>IF(G23&lt;1,1,0)</f>
        <v>1</v>
      </c>
      <c r="F23" s="9">
        <v>246.68</v>
      </c>
      <c r="G23" s="9">
        <v>0.259905</v>
      </c>
      <c r="H23" s="9">
        <v>1111.8800000000001</v>
      </c>
      <c r="I23" s="2"/>
      <c r="O23" s="2"/>
    </row>
    <row r="24" spans="1:21">
      <c r="A24">
        <v>6</v>
      </c>
      <c r="B24">
        <v>400</v>
      </c>
      <c r="C24">
        <v>5</v>
      </c>
      <c r="D24">
        <f t="shared" si="3"/>
        <v>1</v>
      </c>
      <c r="E24">
        <f>IF(G24&lt;1,1,0)</f>
        <v>0</v>
      </c>
      <c r="F24" s="9">
        <v>488.084</v>
      </c>
      <c r="G24" s="9">
        <v>100</v>
      </c>
      <c r="H24" s="9">
        <v>1800.1</v>
      </c>
      <c r="N24" s="2"/>
    </row>
    <row r="25" spans="1:21">
      <c r="A25" s="14" t="s">
        <v>6</v>
      </c>
      <c r="B25" s="14"/>
      <c r="C25" s="14"/>
      <c r="D25" s="8">
        <f>SUM(D20:D24)</f>
        <v>5</v>
      </c>
      <c r="E25" s="4">
        <f>SUM(E20:E24)</f>
        <v>2</v>
      </c>
      <c r="F25" s="10">
        <f>($D20*F20+$D21*F21+$D22*F22+$D23*F23+$D24*F24)/$D25</f>
        <v>442.85579999999999</v>
      </c>
      <c r="G25" s="10">
        <f>($D20*G20+$D21*G21+$D22*G22+$D23*G23+$D24*G24)/$D25</f>
        <v>40.650562800000003</v>
      </c>
      <c r="H25" s="10">
        <f>AVERAGE(H20:H24)</f>
        <v>1305.6958600000003</v>
      </c>
      <c r="M25" s="2"/>
    </row>
    <row r="26" spans="1:21">
      <c r="A26">
        <v>6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169.24600000000001</v>
      </c>
      <c r="G26" s="9">
        <v>0.65468599999999999</v>
      </c>
      <c r="H26" s="9">
        <v>67.534400000000005</v>
      </c>
      <c r="L26" s="2"/>
    </row>
    <row r="27" spans="1:21">
      <c r="A27">
        <v>6</v>
      </c>
      <c r="B27">
        <v>500</v>
      </c>
      <c r="C27">
        <v>2</v>
      </c>
      <c r="D27">
        <f t="shared" ref="D27:D30" si="4">IF(F27&lt;9999,1,0)</f>
        <v>1</v>
      </c>
      <c r="E27">
        <f>IF(G27&lt;1,1,0)</f>
        <v>1</v>
      </c>
      <c r="F27" s="9">
        <v>297.33699999999999</v>
      </c>
      <c r="G27" s="9">
        <v>0.98412299999999997</v>
      </c>
      <c r="H27" s="9">
        <v>1556.92</v>
      </c>
      <c r="K27" s="2"/>
    </row>
    <row r="28" spans="1:21">
      <c r="A28">
        <v>6</v>
      </c>
      <c r="B28">
        <v>500</v>
      </c>
      <c r="C28">
        <v>3</v>
      </c>
      <c r="D28">
        <f t="shared" si="4"/>
        <v>1</v>
      </c>
      <c r="E28">
        <f>IF(G28&lt;1,1,0)</f>
        <v>0</v>
      </c>
      <c r="F28" s="9">
        <v>317.738</v>
      </c>
      <c r="G28" s="9">
        <v>100</v>
      </c>
      <c r="H28" s="9">
        <v>1800.21</v>
      </c>
      <c r="J28" s="2"/>
    </row>
    <row r="29" spans="1:21">
      <c r="A29">
        <v>6</v>
      </c>
      <c r="B29">
        <v>500</v>
      </c>
      <c r="C29">
        <v>4</v>
      </c>
      <c r="D29">
        <f t="shared" si="4"/>
        <v>1</v>
      </c>
      <c r="E29">
        <f>IF(G29&lt;1,1,0)</f>
        <v>0</v>
      </c>
      <c r="F29" s="9">
        <v>206.65</v>
      </c>
      <c r="G29" s="9">
        <v>2.8566600000000002</v>
      </c>
      <c r="H29" s="9">
        <v>1800.19</v>
      </c>
      <c r="I29" s="2"/>
    </row>
    <row r="30" spans="1:21">
      <c r="A30">
        <v>6</v>
      </c>
      <c r="B30">
        <v>500</v>
      </c>
      <c r="C30">
        <v>5</v>
      </c>
      <c r="D30">
        <f t="shared" si="4"/>
        <v>0</v>
      </c>
      <c r="E30">
        <f>IF(G30&lt;1,1,0)</f>
        <v>0</v>
      </c>
      <c r="F30" s="9">
        <v>20429.099999999999</v>
      </c>
      <c r="G30" s="9">
        <v>100</v>
      </c>
      <c r="H30" s="9">
        <v>1800.13</v>
      </c>
    </row>
    <row r="31" spans="1:21">
      <c r="A31" s="14" t="s">
        <v>6</v>
      </c>
      <c r="B31" s="14"/>
      <c r="C31" s="14"/>
      <c r="D31" s="8">
        <f>SUM(D26:D30)</f>
        <v>4</v>
      </c>
      <c r="E31" s="4">
        <f>SUM(E26:E30)</f>
        <v>2</v>
      </c>
      <c r="F31" s="10">
        <f>($D26*F26+$D27*F27+$D28*F28+$D29*F29+$D30*F30)/$D31</f>
        <v>247.74274999999997</v>
      </c>
      <c r="G31" s="10">
        <f>($D26*G26+$D27*G27+$D28*G28+$D29*G29+$D30*G30)/$D31</f>
        <v>26.12386725</v>
      </c>
      <c r="H31" s="10">
        <f>AVERAGE(H26:H30)</f>
        <v>1404.9968800000001</v>
      </c>
    </row>
    <row r="33" spans="1:8">
      <c r="A33" s="13" t="s">
        <v>8</v>
      </c>
      <c r="B33" s="13"/>
      <c r="C33" s="13"/>
      <c r="D33" s="2">
        <f>SUM(D7,D13,D19,D25,D31)</f>
        <v>24</v>
      </c>
      <c r="E33" s="2">
        <f>SUM(E7,E13,E19,E25,E31)</f>
        <v>13</v>
      </c>
      <c r="F33" s="11">
        <f>(F7*$D7+F13*$D13+F19*$D19+F25*$D25+F31*$D31)/($D7+$D13+$D19+$D25+$D31)</f>
        <v>401.07745833333337</v>
      </c>
      <c r="G33" s="11">
        <f>(G7*$D7+G13*$D13+G19*$D19+G25*$D25+G31*$D31)/($D7+$D13+$D19+$D25+$D31)</f>
        <v>33.986163041666664</v>
      </c>
      <c r="H33" s="11">
        <f>AVERAGE(H7,H13,H19,H25,H31)</f>
        <v>1017.1603952000002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198-2C99-461D-86CC-DE80BD602EBD}">
  <dimension ref="A1:AH33"/>
  <sheetViews>
    <sheetView workbookViewId="0">
      <selection activeCell="G1" sqref="G1:G1048576"/>
    </sheetView>
  </sheetViews>
  <sheetFormatPr defaultRowHeight="15"/>
  <cols>
    <col min="6" max="6" width="16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M1" s="2"/>
      <c r="S1" s="2"/>
      <c r="Y1" s="2"/>
      <c r="AD1" s="3"/>
      <c r="AE1" s="2"/>
    </row>
    <row r="2" spans="1:34">
      <c r="A2">
        <v>8</v>
      </c>
      <c r="B2">
        <v>100</v>
      </c>
      <c r="C2">
        <v>1</v>
      </c>
      <c r="D2">
        <f>IF(F2&lt;9999,1,0)</f>
        <v>1</v>
      </c>
      <c r="E2">
        <f>IF(G2&lt;1,1,0)</f>
        <v>0</v>
      </c>
      <c r="F2" s="9">
        <v>317.39</v>
      </c>
      <c r="G2" s="9">
        <v>53.425699999999999</v>
      </c>
      <c r="H2" s="9">
        <v>1800.06</v>
      </c>
      <c r="L2" s="2"/>
      <c r="R2" s="2"/>
      <c r="X2" s="2"/>
      <c r="AC2" s="3"/>
      <c r="AD2" s="2"/>
    </row>
    <row r="3" spans="1:34">
      <c r="A3">
        <v>8</v>
      </c>
      <c r="B3">
        <v>100</v>
      </c>
      <c r="C3">
        <v>2</v>
      </c>
      <c r="D3">
        <f t="shared" ref="D3:D6" si="0">IF(F3&lt;9999,1,0)</f>
        <v>1</v>
      </c>
      <c r="E3">
        <f>IF(G3&lt;1,1,0)</f>
        <v>0</v>
      </c>
      <c r="F3" s="9">
        <v>513.74800000000005</v>
      </c>
      <c r="G3" s="9">
        <v>100</v>
      </c>
      <c r="H3" s="9">
        <v>1800.06</v>
      </c>
      <c r="K3" s="2"/>
      <c r="Q3" s="2"/>
      <c r="W3" s="2"/>
      <c r="AB3" s="3"/>
      <c r="AC3" s="2"/>
    </row>
    <row r="4" spans="1:34">
      <c r="A4">
        <v>8</v>
      </c>
      <c r="B4">
        <v>100</v>
      </c>
      <c r="C4">
        <v>3</v>
      </c>
      <c r="D4">
        <f t="shared" si="0"/>
        <v>1</v>
      </c>
      <c r="E4">
        <f>IF(G4&lt;1,1,0)</f>
        <v>0</v>
      </c>
      <c r="F4" s="9">
        <v>961.09900000000005</v>
      </c>
      <c r="G4" s="9">
        <v>100</v>
      </c>
      <c r="H4" s="9">
        <v>1800.07</v>
      </c>
      <c r="J4" s="2"/>
      <c r="P4" s="2"/>
      <c r="V4" s="2"/>
      <c r="AA4" s="3"/>
      <c r="AB4" s="2"/>
      <c r="AH4" s="2"/>
    </row>
    <row r="5" spans="1:34">
      <c r="A5">
        <v>8</v>
      </c>
      <c r="B5">
        <v>100</v>
      </c>
      <c r="C5">
        <v>4</v>
      </c>
      <c r="D5">
        <f t="shared" si="0"/>
        <v>1</v>
      </c>
      <c r="E5">
        <f>IF(G5&lt;1,1,0)</f>
        <v>0</v>
      </c>
      <c r="F5" s="9">
        <v>300.60500000000002</v>
      </c>
      <c r="G5" s="9">
        <v>100</v>
      </c>
      <c r="H5" s="9">
        <v>1800.06</v>
      </c>
      <c r="I5" s="2"/>
      <c r="O5" s="2"/>
      <c r="U5" s="2"/>
      <c r="Z5" s="3"/>
      <c r="AA5" s="2"/>
      <c r="AG5" s="2"/>
    </row>
    <row r="6" spans="1:34">
      <c r="A6">
        <v>8</v>
      </c>
      <c r="B6">
        <v>100</v>
      </c>
      <c r="C6">
        <v>5</v>
      </c>
      <c r="D6">
        <f t="shared" si="0"/>
        <v>1</v>
      </c>
      <c r="E6">
        <f>IF(G6&lt;1,1,0)</f>
        <v>0</v>
      </c>
      <c r="F6" s="9">
        <v>1164.1199999999999</v>
      </c>
      <c r="G6" s="9">
        <v>100</v>
      </c>
      <c r="H6" s="9">
        <v>1800.06</v>
      </c>
    </row>
    <row r="7" spans="1:34">
      <c r="A7" s="14" t="s">
        <v>6</v>
      </c>
      <c r="B7" s="14"/>
      <c r="C7" s="14"/>
      <c r="D7" s="8">
        <f>SUM(D2:D6)</f>
        <v>5</v>
      </c>
      <c r="E7" s="4">
        <f>SUM(E2:E6)</f>
        <v>0</v>
      </c>
      <c r="F7" s="10">
        <f>($D2*F2+$D3*F3+$D4*F4+$D5*F5+$D6*F6)/$D7</f>
        <v>651.39239999999995</v>
      </c>
      <c r="G7" s="10">
        <f>($D2*G2+$D3*G3+$D4*G4+$D5*G5+$D6*G6)/$D7</f>
        <v>90.685140000000004</v>
      </c>
      <c r="H7" s="10">
        <f>AVERAGE(H2:H6)</f>
        <v>1800.0619999999999</v>
      </c>
      <c r="M7" s="2"/>
      <c r="S7" s="2"/>
      <c r="X7" s="3"/>
      <c r="Y7" s="2"/>
      <c r="AE7" s="2"/>
    </row>
    <row r="8" spans="1:34">
      <c r="A8">
        <v>8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582.19299999999998</v>
      </c>
      <c r="G8" s="9">
        <v>100</v>
      </c>
      <c r="H8" s="9">
        <v>1800.04</v>
      </c>
      <c r="L8" s="2"/>
      <c r="R8" s="2"/>
      <c r="W8" s="3"/>
      <c r="X8" s="2"/>
      <c r="AD8" s="2"/>
    </row>
    <row r="9" spans="1:34">
      <c r="A9">
        <v>8</v>
      </c>
      <c r="B9">
        <v>200</v>
      </c>
      <c r="C9">
        <v>2</v>
      </c>
      <c r="D9">
        <f t="shared" ref="D9:D12" si="1">IF(F9&lt;9999,1,0)</f>
        <v>1</v>
      </c>
      <c r="E9">
        <f>IF(G9&lt;1,1,0)</f>
        <v>0</v>
      </c>
      <c r="F9" s="9">
        <v>1795.89</v>
      </c>
      <c r="G9" s="9">
        <v>100</v>
      </c>
      <c r="H9" s="9">
        <v>1800.1</v>
      </c>
      <c r="K9" s="2"/>
      <c r="Q9" s="2"/>
      <c r="V9" s="3"/>
      <c r="W9" s="2"/>
      <c r="AC9" s="2"/>
    </row>
    <row r="10" spans="1:34">
      <c r="A10">
        <v>8</v>
      </c>
      <c r="B10">
        <v>200</v>
      </c>
      <c r="C10">
        <v>3</v>
      </c>
      <c r="D10">
        <f t="shared" si="1"/>
        <v>1</v>
      </c>
      <c r="E10">
        <f>IF(G10&lt;1,1,0)</f>
        <v>0</v>
      </c>
      <c r="F10" s="9">
        <v>583.69500000000005</v>
      </c>
      <c r="G10" s="9">
        <v>100</v>
      </c>
      <c r="H10" s="9">
        <v>1800.1</v>
      </c>
      <c r="J10" s="2"/>
      <c r="P10" s="2"/>
      <c r="U10" s="3"/>
      <c r="V10" s="2"/>
      <c r="AB10" s="2"/>
    </row>
    <row r="11" spans="1:34">
      <c r="A11">
        <v>8</v>
      </c>
      <c r="B11">
        <v>200</v>
      </c>
      <c r="C11">
        <v>4</v>
      </c>
      <c r="D11">
        <f t="shared" si="1"/>
        <v>0</v>
      </c>
      <c r="E11">
        <f>IF(G11&lt;1,1,0)</f>
        <v>0</v>
      </c>
      <c r="F11" s="9">
        <v>20565.099999999999</v>
      </c>
      <c r="G11" s="9">
        <v>100</v>
      </c>
      <c r="H11" s="9">
        <v>1800.12</v>
      </c>
      <c r="I11" s="2"/>
      <c r="O11" s="2"/>
      <c r="T11" s="3"/>
      <c r="U11" s="2"/>
      <c r="AA11" s="2"/>
    </row>
    <row r="12" spans="1:34">
      <c r="A12">
        <v>8</v>
      </c>
      <c r="B12">
        <v>200</v>
      </c>
      <c r="C12">
        <v>5</v>
      </c>
      <c r="D12">
        <f t="shared" si="1"/>
        <v>1</v>
      </c>
      <c r="E12">
        <f>IF(G12&lt;1,1,0)</f>
        <v>0</v>
      </c>
      <c r="F12" s="9">
        <v>1085.3599999999999</v>
      </c>
      <c r="G12" s="9">
        <v>100</v>
      </c>
      <c r="H12" s="9">
        <v>1803.46</v>
      </c>
      <c r="N12" s="2"/>
      <c r="T12" s="2"/>
      <c r="Z12" s="2"/>
    </row>
    <row r="13" spans="1:34">
      <c r="A13" s="14" t="s">
        <v>6</v>
      </c>
      <c r="B13" s="14"/>
      <c r="C13" s="14"/>
      <c r="D13" s="8">
        <f>SUM(D8:D12)</f>
        <v>4</v>
      </c>
      <c r="E13" s="4">
        <f>SUM(E8:E12)</f>
        <v>0</v>
      </c>
      <c r="F13" s="10">
        <f>($D8*F8+$D9*F9+$D10*F10+$D11*F11+$D12*F12)/$D13</f>
        <v>1011.7845</v>
      </c>
      <c r="G13" s="10">
        <f>($D8*G8+$D9*G9+$D10*G10+$D11*G11+$D12*G12)/$D13</f>
        <v>100</v>
      </c>
      <c r="H13" s="10">
        <f>AVERAGE(H8:H12)</f>
        <v>1800.7639999999999</v>
      </c>
      <c r="M13" s="2"/>
      <c r="R13" s="3"/>
      <c r="S13" s="2"/>
      <c r="Y13" s="2"/>
    </row>
    <row r="14" spans="1:34">
      <c r="A14">
        <v>8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863.36099999999999</v>
      </c>
      <c r="G14" s="9">
        <v>100</v>
      </c>
      <c r="H14" s="9">
        <v>1800.06</v>
      </c>
      <c r="L14" s="2"/>
      <c r="Q14" s="3"/>
      <c r="R14" s="2"/>
      <c r="X14" s="2"/>
    </row>
    <row r="15" spans="1:34">
      <c r="A15">
        <v>8</v>
      </c>
      <c r="B15">
        <v>300</v>
      </c>
      <c r="C15">
        <v>2</v>
      </c>
      <c r="D15">
        <f t="shared" ref="D15:D18" si="2">IF(F15&lt;9999,1,0)</f>
        <v>1</v>
      </c>
      <c r="E15">
        <f>IF(G15&lt;1,1,0)</f>
        <v>0</v>
      </c>
      <c r="F15" s="9">
        <v>1886.91</v>
      </c>
      <c r="G15" s="9">
        <v>100</v>
      </c>
      <c r="H15" s="9">
        <v>1800.14</v>
      </c>
      <c r="K15" s="2"/>
      <c r="P15" s="3"/>
      <c r="Q15" s="2"/>
      <c r="W15" s="2"/>
    </row>
    <row r="16" spans="1:34">
      <c r="A16">
        <v>8</v>
      </c>
      <c r="B16">
        <v>300</v>
      </c>
      <c r="C16">
        <v>3</v>
      </c>
      <c r="D16">
        <f t="shared" si="2"/>
        <v>1</v>
      </c>
      <c r="E16">
        <f>IF(G16&lt;1,1,0)</f>
        <v>0</v>
      </c>
      <c r="F16" s="9">
        <v>374.28800000000001</v>
      </c>
      <c r="G16" s="9">
        <v>100</v>
      </c>
      <c r="H16" s="9">
        <v>1800.25</v>
      </c>
      <c r="J16" s="2"/>
      <c r="O16" s="3"/>
      <c r="P16" s="2"/>
      <c r="V16" s="2"/>
    </row>
    <row r="17" spans="1:21">
      <c r="A17">
        <v>8</v>
      </c>
      <c r="B17">
        <v>300</v>
      </c>
      <c r="C17">
        <v>4</v>
      </c>
      <c r="D17">
        <f t="shared" si="2"/>
        <v>0</v>
      </c>
      <c r="E17">
        <f>IF(G17&lt;1,1,0)</f>
        <v>0</v>
      </c>
      <c r="F17" s="9">
        <v>30392.9</v>
      </c>
      <c r="G17" s="9">
        <v>100</v>
      </c>
      <c r="H17" s="9">
        <v>1800.17</v>
      </c>
      <c r="I17" s="2"/>
      <c r="N17" s="3"/>
      <c r="O17" s="2"/>
      <c r="U17" s="2"/>
    </row>
    <row r="18" spans="1:21">
      <c r="A18">
        <v>8</v>
      </c>
      <c r="B18">
        <v>300</v>
      </c>
      <c r="C18">
        <v>5</v>
      </c>
      <c r="D18">
        <f t="shared" si="2"/>
        <v>1</v>
      </c>
      <c r="E18">
        <f>IF(G18&lt;1,1,0)</f>
        <v>0</v>
      </c>
      <c r="F18" s="9">
        <v>855.51300000000003</v>
      </c>
      <c r="G18" s="9">
        <v>100</v>
      </c>
      <c r="H18" s="9">
        <v>1800.06</v>
      </c>
      <c r="N18" s="2"/>
      <c r="T18" s="2"/>
    </row>
    <row r="19" spans="1:21">
      <c r="A19" s="14" t="s">
        <v>6</v>
      </c>
      <c r="B19" s="14"/>
      <c r="C19" s="14"/>
      <c r="D19" s="8">
        <f>SUM(D14:D18)</f>
        <v>4</v>
      </c>
      <c r="E19" s="4">
        <f>SUM(E14:E18)</f>
        <v>0</v>
      </c>
      <c r="F19" s="10">
        <f>($D14*F14+$D15*F15+$D16*F16+$D17*F17+$D18*F18)/$D19</f>
        <v>995.01800000000003</v>
      </c>
      <c r="G19" s="10">
        <f>($D14*G14+$D15*G15+$D16*G16+$D17*G17+$D18*G18)/$D19</f>
        <v>100</v>
      </c>
      <c r="H19" s="10">
        <f>AVERAGE(H14:H18)</f>
        <v>1800.136</v>
      </c>
      <c r="L19" s="3"/>
      <c r="M19" s="2"/>
      <c r="S19" s="2"/>
    </row>
    <row r="20" spans="1:21">
      <c r="A20">
        <v>8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894.04600000000005</v>
      </c>
      <c r="G20" s="9">
        <v>100</v>
      </c>
      <c r="H20" s="9">
        <v>1800.13</v>
      </c>
      <c r="K20" s="3"/>
      <c r="L20" s="2"/>
      <c r="R20" s="2"/>
    </row>
    <row r="21" spans="1:21">
      <c r="A21">
        <v>8</v>
      </c>
      <c r="B21">
        <v>400</v>
      </c>
      <c r="C21">
        <v>2</v>
      </c>
      <c r="D21">
        <f t="shared" ref="D21:D24" si="3">IF(F21&lt;9999,1,0)</f>
        <v>1</v>
      </c>
      <c r="E21">
        <f>IF(G21&lt;1,1,0)</f>
        <v>0</v>
      </c>
      <c r="F21" s="9">
        <v>1338.88</v>
      </c>
      <c r="G21" s="9">
        <v>100</v>
      </c>
      <c r="H21" s="9">
        <v>1800.34</v>
      </c>
      <c r="J21" s="3"/>
      <c r="K21" s="2"/>
      <c r="Q21" s="2"/>
    </row>
    <row r="22" spans="1:21">
      <c r="A22">
        <v>8</v>
      </c>
      <c r="B22">
        <v>400</v>
      </c>
      <c r="C22">
        <v>3</v>
      </c>
      <c r="D22">
        <f t="shared" si="3"/>
        <v>1</v>
      </c>
      <c r="E22">
        <f>IF(G22&lt;1,1,0)</f>
        <v>0</v>
      </c>
      <c r="F22" s="9">
        <v>359.59</v>
      </c>
      <c r="G22" s="9">
        <v>100</v>
      </c>
      <c r="H22" s="9">
        <v>1800.18</v>
      </c>
      <c r="I22" s="3"/>
      <c r="J22" s="2"/>
      <c r="P22" s="2"/>
    </row>
    <row r="23" spans="1:21">
      <c r="A23">
        <v>8</v>
      </c>
      <c r="B23">
        <v>400</v>
      </c>
      <c r="C23">
        <v>4</v>
      </c>
      <c r="D23">
        <f t="shared" si="3"/>
        <v>0</v>
      </c>
      <c r="E23">
        <f>IF(G23&lt;1,1,0)</f>
        <v>0</v>
      </c>
      <c r="F23" s="9">
        <v>110645</v>
      </c>
      <c r="G23" s="9">
        <v>100</v>
      </c>
      <c r="H23" s="9">
        <v>1800.44</v>
      </c>
      <c r="I23" s="2"/>
      <c r="O23" s="2"/>
    </row>
    <row r="24" spans="1:21">
      <c r="A24">
        <v>8</v>
      </c>
      <c r="B24">
        <v>400</v>
      </c>
      <c r="C24">
        <v>5</v>
      </c>
      <c r="D24">
        <f t="shared" si="3"/>
        <v>1</v>
      </c>
      <c r="E24">
        <f>IF(G24&lt;1,1,0)</f>
        <v>0</v>
      </c>
      <c r="F24" s="9">
        <v>524.85400000000004</v>
      </c>
      <c r="G24" s="9">
        <v>100</v>
      </c>
      <c r="H24" s="9">
        <v>1800.16</v>
      </c>
      <c r="N24" s="2"/>
    </row>
    <row r="25" spans="1:21">
      <c r="A25" s="14" t="s">
        <v>6</v>
      </c>
      <c r="B25" s="14"/>
      <c r="C25" s="14"/>
      <c r="D25" s="8">
        <f>SUM(D20:D24)</f>
        <v>4</v>
      </c>
      <c r="E25" s="4">
        <f>SUM(E20:E24)</f>
        <v>0</v>
      </c>
      <c r="F25" s="10">
        <f>($D20*F20+$D21*F21+$D22*F22+$D23*F23+$D24*F24)/$D25</f>
        <v>779.3425000000002</v>
      </c>
      <c r="G25" s="10">
        <f>($D20*G20+$D21*G21+$D22*G22+$D23*G23+$D24*G24)/$D25</f>
        <v>100</v>
      </c>
      <c r="H25" s="10">
        <f>AVERAGE(H20:H24)</f>
        <v>1800.25</v>
      </c>
      <c r="M25" s="2"/>
    </row>
    <row r="26" spans="1:21">
      <c r="A26">
        <v>8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914.70699999999999</v>
      </c>
      <c r="G26" s="9">
        <v>100</v>
      </c>
      <c r="H26" s="9">
        <v>1800.19</v>
      </c>
      <c r="L26" s="2"/>
    </row>
    <row r="27" spans="1:21">
      <c r="A27">
        <v>8</v>
      </c>
      <c r="B27">
        <v>500</v>
      </c>
      <c r="C27">
        <v>2</v>
      </c>
      <c r="D27">
        <f t="shared" ref="D27:D30" si="4">IF(F27&lt;9999,1,0)</f>
        <v>1</v>
      </c>
      <c r="E27">
        <f>IF(G27&lt;1,1,0)</f>
        <v>0</v>
      </c>
      <c r="F27" s="9">
        <v>589.60500000000002</v>
      </c>
      <c r="G27" s="9">
        <v>100</v>
      </c>
      <c r="H27" s="9">
        <v>1800.17</v>
      </c>
      <c r="K27" s="2"/>
    </row>
    <row r="28" spans="1:21">
      <c r="A28">
        <v>8</v>
      </c>
      <c r="B28">
        <v>500</v>
      </c>
      <c r="C28">
        <v>3</v>
      </c>
      <c r="D28">
        <f t="shared" si="4"/>
        <v>1</v>
      </c>
      <c r="E28">
        <f>IF(G28&lt;1,1,0)</f>
        <v>0</v>
      </c>
      <c r="F28" s="9">
        <v>1236.79</v>
      </c>
      <c r="G28" s="9">
        <v>100</v>
      </c>
      <c r="H28" s="9">
        <v>1800.24</v>
      </c>
      <c r="J28" s="2"/>
    </row>
    <row r="29" spans="1:21">
      <c r="A29">
        <v>8</v>
      </c>
      <c r="B29">
        <v>500</v>
      </c>
      <c r="C29">
        <v>4</v>
      </c>
      <c r="D29">
        <f t="shared" si="4"/>
        <v>1</v>
      </c>
      <c r="E29">
        <f>IF(G29&lt;1,1,0)</f>
        <v>0</v>
      </c>
      <c r="F29" s="9">
        <v>892.15</v>
      </c>
      <c r="G29" s="9">
        <v>100</v>
      </c>
      <c r="H29" s="9">
        <v>1800.22</v>
      </c>
      <c r="I29" s="2"/>
    </row>
    <row r="30" spans="1:21">
      <c r="A30">
        <v>8</v>
      </c>
      <c r="B30">
        <v>500</v>
      </c>
      <c r="C30">
        <v>5</v>
      </c>
      <c r="D30">
        <f t="shared" si="4"/>
        <v>1</v>
      </c>
      <c r="E30">
        <f>IF(G30&lt;1,1,0)</f>
        <v>0</v>
      </c>
      <c r="F30" s="9">
        <v>564.245</v>
      </c>
      <c r="G30" s="9">
        <v>100</v>
      </c>
      <c r="H30" s="9">
        <v>1803.54</v>
      </c>
    </row>
    <row r="31" spans="1:21">
      <c r="A31" s="14" t="s">
        <v>6</v>
      </c>
      <c r="B31" s="14"/>
      <c r="C31" s="14"/>
      <c r="D31" s="8">
        <f>SUM(D26:D30)</f>
        <v>5</v>
      </c>
      <c r="E31" s="4">
        <f>SUM(E26:E30)</f>
        <v>0</v>
      </c>
      <c r="F31" s="10">
        <f>($D26*F26+$D27*F27+$D28*F28+$D29*F29+$D30*F30)/$D31</f>
        <v>839.49940000000004</v>
      </c>
      <c r="G31" s="10">
        <f>($D26*G26+$D27*G27+$D28*G28+$D29*G29+$D30*G30)/$D31</f>
        <v>100</v>
      </c>
      <c r="H31" s="10">
        <f>AVERAGE(H26:H30)</f>
        <v>1800.8720000000001</v>
      </c>
    </row>
    <row r="33" spans="1:8">
      <c r="A33" s="13" t="s">
        <v>8</v>
      </c>
      <c r="B33" s="13"/>
      <c r="C33" s="13"/>
      <c r="D33" s="2">
        <f>SUM(D7,D13,D19,D25,D31)</f>
        <v>22</v>
      </c>
      <c r="E33" s="2">
        <f>SUM(E7,E13,E19,E25,E31)</f>
        <v>0</v>
      </c>
      <c r="F33" s="11">
        <f>(F7*$D7+F13*$D13+F19*$D19+F25*$D25+F31*$D31)/($D7+$D13+$D19+$D25+$D31)</f>
        <v>845.41086363636362</v>
      </c>
      <c r="G33" s="11">
        <f>(G7*$D7+G13*$D13+G19*$D19+G25*$D25+G31*$D31)/($D7+$D13+$D19+$D25+$D31)</f>
        <v>97.882986363636348</v>
      </c>
      <c r="H33" s="11">
        <f>AVERAGE(H7,H13,H19,H25,H31)</f>
        <v>1800.4167999999997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CFB0-FB2D-45FB-956D-37EA2EF91C38}">
  <dimension ref="A1:AH35"/>
  <sheetViews>
    <sheetView tabSelected="1" workbookViewId="0">
      <selection activeCell="H20" sqref="H20"/>
    </sheetView>
  </sheetViews>
  <sheetFormatPr defaultRowHeight="15"/>
  <cols>
    <col min="6" max="6" width="11.285156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M1" s="2"/>
      <c r="S1" s="2"/>
      <c r="Y1" s="2"/>
      <c r="AD1" s="3"/>
      <c r="AE1" s="2"/>
    </row>
    <row r="2" spans="1:34">
      <c r="A2">
        <v>10</v>
      </c>
      <c r="B2">
        <v>100</v>
      </c>
      <c r="C2">
        <v>1</v>
      </c>
      <c r="D2">
        <f>IF(F2&lt;9999,1,0)</f>
        <v>0</v>
      </c>
      <c r="E2">
        <f>IF(G2&lt;1,1,0)</f>
        <v>0</v>
      </c>
      <c r="F2" s="9">
        <v>40626.5</v>
      </c>
      <c r="G2" s="9">
        <v>100</v>
      </c>
      <c r="H2" s="9">
        <v>1802.59</v>
      </c>
      <c r="L2" s="2"/>
      <c r="R2" s="2"/>
      <c r="X2" s="2"/>
      <c r="AC2" s="3"/>
      <c r="AD2" s="2"/>
    </row>
    <row r="3" spans="1:34">
      <c r="A3">
        <v>10</v>
      </c>
      <c r="B3">
        <v>100</v>
      </c>
      <c r="C3">
        <v>2</v>
      </c>
      <c r="D3">
        <f t="shared" ref="D3:D6" si="0">IF(F3&lt;9999,1,0)</f>
        <v>1</v>
      </c>
      <c r="E3">
        <f>IF(G3&lt;1,1,0)</f>
        <v>0</v>
      </c>
      <c r="F3" s="9">
        <v>1046.57</v>
      </c>
      <c r="G3" s="9">
        <v>100</v>
      </c>
      <c r="H3" s="9">
        <v>1800.15</v>
      </c>
      <c r="K3" s="2"/>
      <c r="Q3" s="2"/>
      <c r="W3" s="2"/>
      <c r="AB3" s="3"/>
      <c r="AC3" s="2"/>
    </row>
    <row r="4" spans="1:34">
      <c r="A4">
        <v>10</v>
      </c>
      <c r="B4">
        <v>100</v>
      </c>
      <c r="C4">
        <v>3</v>
      </c>
      <c r="D4">
        <f t="shared" si="0"/>
        <v>1</v>
      </c>
      <c r="E4">
        <f>IF(G4&lt;1,1,0)</f>
        <v>0</v>
      </c>
      <c r="F4" s="9">
        <v>475.47300000000001</v>
      </c>
      <c r="G4" s="9">
        <v>100</v>
      </c>
      <c r="H4" s="9">
        <v>1800.1</v>
      </c>
      <c r="J4" s="2"/>
      <c r="P4" s="2"/>
      <c r="V4" s="2"/>
      <c r="AA4" s="3"/>
      <c r="AB4" s="2"/>
      <c r="AH4" s="2"/>
    </row>
    <row r="5" spans="1:34">
      <c r="A5">
        <v>10</v>
      </c>
      <c r="B5">
        <v>100</v>
      </c>
      <c r="C5">
        <v>4</v>
      </c>
      <c r="D5">
        <f t="shared" si="0"/>
        <v>0</v>
      </c>
      <c r="E5">
        <f>IF(G5&lt;1,1,0)</f>
        <v>0</v>
      </c>
      <c r="F5" s="9">
        <v>30437.1</v>
      </c>
      <c r="G5" s="9">
        <v>100</v>
      </c>
      <c r="H5" s="9">
        <v>1800.11</v>
      </c>
      <c r="I5" s="2"/>
      <c r="O5" s="2"/>
      <c r="U5" s="2"/>
      <c r="Z5" s="3"/>
      <c r="AA5" s="2"/>
      <c r="AG5" s="2"/>
    </row>
    <row r="6" spans="1:34">
      <c r="A6">
        <v>10</v>
      </c>
      <c r="B6">
        <v>100</v>
      </c>
      <c r="C6">
        <v>5</v>
      </c>
      <c r="D6">
        <f t="shared" si="0"/>
        <v>1</v>
      </c>
      <c r="E6">
        <f>IF(G6&lt;1,1,0)</f>
        <v>0</v>
      </c>
      <c r="F6" s="9">
        <v>583.625</v>
      </c>
      <c r="G6" s="9">
        <v>100</v>
      </c>
      <c r="H6" s="9">
        <v>1800.06</v>
      </c>
    </row>
    <row r="7" spans="1:34">
      <c r="A7" s="14" t="s">
        <v>6</v>
      </c>
      <c r="B7" s="14"/>
      <c r="C7" s="14"/>
      <c r="D7" s="8">
        <f>SUM(D2:D6)</f>
        <v>3</v>
      </c>
      <c r="E7" s="4">
        <f>SUM(E2:E6)</f>
        <v>0</v>
      </c>
      <c r="F7" s="10">
        <f>($D2*F2+$D3*F3+$D4*F4+$D5*F5+$D6*F6)/$D7</f>
        <v>701.88933333333318</v>
      </c>
      <c r="G7" s="10">
        <f>($D2*G2+$D3*G3+$D4*G4+$D5*G5+$D6*G6)/$D7</f>
        <v>100</v>
      </c>
      <c r="H7" s="10">
        <f>AVERAGE(H2:H6)</f>
        <v>1800.6020000000001</v>
      </c>
      <c r="M7" s="2"/>
      <c r="S7" s="2"/>
      <c r="X7" s="3"/>
      <c r="Y7" s="2"/>
      <c r="AE7" s="2"/>
    </row>
    <row r="8" spans="1:34">
      <c r="A8">
        <v>10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1486.01</v>
      </c>
      <c r="G8" s="9">
        <v>100</v>
      </c>
      <c r="H8" s="9">
        <v>1800.13</v>
      </c>
      <c r="L8" s="2"/>
      <c r="R8" s="2"/>
      <c r="W8" s="3"/>
      <c r="X8" s="2"/>
      <c r="AD8" s="2"/>
    </row>
    <row r="9" spans="1:34">
      <c r="A9">
        <v>10</v>
      </c>
      <c r="B9">
        <v>200</v>
      </c>
      <c r="C9">
        <v>2</v>
      </c>
      <c r="D9">
        <f t="shared" ref="D9:D12" si="1">IF(F9&lt;9999,1,0)</f>
        <v>1</v>
      </c>
      <c r="E9">
        <f>IF(G9&lt;1,1,0)</f>
        <v>0</v>
      </c>
      <c r="F9" s="9">
        <v>333.10700000000003</v>
      </c>
      <c r="G9" s="9">
        <v>100</v>
      </c>
      <c r="H9" s="9">
        <v>1800.24</v>
      </c>
      <c r="K9" s="2"/>
      <c r="Q9" s="2"/>
      <c r="V9" s="3"/>
      <c r="W9" s="2"/>
      <c r="AC9" s="2"/>
    </row>
    <row r="10" spans="1:34">
      <c r="A10">
        <v>10</v>
      </c>
      <c r="B10">
        <v>200</v>
      </c>
      <c r="C10">
        <v>3</v>
      </c>
      <c r="D10">
        <f t="shared" si="1"/>
        <v>0</v>
      </c>
      <c r="E10">
        <f>IF(G10&lt;1,1,0)</f>
        <v>0</v>
      </c>
      <c r="F10" s="9">
        <v>30538.1</v>
      </c>
      <c r="G10" s="9">
        <v>100</v>
      </c>
      <c r="H10" s="9">
        <v>1800.18</v>
      </c>
      <c r="J10" s="2"/>
      <c r="P10" s="2"/>
      <c r="U10" s="3"/>
      <c r="V10" s="2"/>
      <c r="AB10" s="2"/>
    </row>
    <row r="11" spans="1:34">
      <c r="A11">
        <v>10</v>
      </c>
      <c r="B11">
        <v>200</v>
      </c>
      <c r="C11">
        <v>4</v>
      </c>
      <c r="D11">
        <f t="shared" si="1"/>
        <v>1</v>
      </c>
      <c r="E11">
        <f>IF(G11&lt;1,1,0)</f>
        <v>0</v>
      </c>
      <c r="F11" s="9">
        <v>1075.8800000000001</v>
      </c>
      <c r="G11" s="9">
        <v>100</v>
      </c>
      <c r="H11" s="9">
        <v>1800.28</v>
      </c>
      <c r="I11" s="2"/>
      <c r="O11" s="2"/>
      <c r="T11" s="3"/>
      <c r="U11" s="2"/>
      <c r="AA11" s="2"/>
    </row>
    <row r="12" spans="1:34">
      <c r="A12">
        <v>10</v>
      </c>
      <c r="B12">
        <v>200</v>
      </c>
      <c r="C12">
        <v>5</v>
      </c>
      <c r="D12">
        <f t="shared" si="1"/>
        <v>1</v>
      </c>
      <c r="E12">
        <f>IF(G12&lt;1,1,0)</f>
        <v>0</v>
      </c>
      <c r="F12" s="9">
        <v>1294.4100000000001</v>
      </c>
      <c r="G12" s="9">
        <v>100</v>
      </c>
      <c r="H12" s="9">
        <v>1800.21</v>
      </c>
      <c r="N12" s="2"/>
      <c r="T12" s="2"/>
      <c r="Z12" s="2"/>
    </row>
    <row r="13" spans="1:34">
      <c r="A13" s="14" t="s">
        <v>6</v>
      </c>
      <c r="B13" s="14"/>
      <c r="C13" s="14"/>
      <c r="D13" s="8">
        <f>SUM(D8:D12)</f>
        <v>4</v>
      </c>
      <c r="E13" s="4">
        <f>SUM(E8:E12)</f>
        <v>0</v>
      </c>
      <c r="F13" s="10">
        <f>($D8*F8+$D9*F9+$D10*F10+$D11*F11+$D12*F12)/$D13</f>
        <v>1047.35175</v>
      </c>
      <c r="G13" s="10">
        <f>($D8*G8+$D9*G9+$D10*G10+$D11*G11+$D12*G12)/$D13</f>
        <v>100</v>
      </c>
      <c r="H13" s="10">
        <f>AVERAGE(H8:H12)</f>
        <v>1800.2080000000001</v>
      </c>
      <c r="M13" s="2"/>
      <c r="R13" s="3"/>
      <c r="S13" s="2"/>
      <c r="Y13" s="2"/>
    </row>
    <row r="14" spans="1:34">
      <c r="A14">
        <v>10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1482.23</v>
      </c>
      <c r="G14" s="9">
        <v>100</v>
      </c>
      <c r="H14" s="9">
        <v>1804.16</v>
      </c>
      <c r="L14" s="2"/>
      <c r="Q14" s="3"/>
      <c r="R14" s="2"/>
      <c r="X14" s="2"/>
    </row>
    <row r="15" spans="1:34">
      <c r="A15">
        <v>10</v>
      </c>
      <c r="B15">
        <v>300</v>
      </c>
      <c r="C15">
        <v>2</v>
      </c>
      <c r="D15">
        <f t="shared" ref="D15:D18" si="2">IF(F15&lt;9999,1,0)</f>
        <v>1</v>
      </c>
      <c r="E15">
        <f>IF(G15&lt;1,1,0)</f>
        <v>0</v>
      </c>
      <c r="F15" s="9">
        <v>977.96199999999999</v>
      </c>
      <c r="G15" s="9">
        <v>100</v>
      </c>
      <c r="H15" s="9">
        <v>1800.14</v>
      </c>
      <c r="K15" s="2"/>
      <c r="P15" s="3"/>
      <c r="Q15" s="2"/>
      <c r="W15" s="2"/>
    </row>
    <row r="16" spans="1:34">
      <c r="A16">
        <v>10</v>
      </c>
      <c r="B16">
        <v>300</v>
      </c>
      <c r="C16">
        <v>3</v>
      </c>
      <c r="D16">
        <f t="shared" si="2"/>
        <v>0</v>
      </c>
      <c r="E16">
        <f>IF(G16&lt;1,1,0)</f>
        <v>0</v>
      </c>
      <c r="F16" s="9">
        <v>20351</v>
      </c>
      <c r="G16" s="9">
        <v>100</v>
      </c>
      <c r="H16" s="9">
        <v>1800.16</v>
      </c>
      <c r="J16" s="2"/>
      <c r="O16" s="3"/>
      <c r="P16" s="2"/>
      <c r="V16" s="2"/>
    </row>
    <row r="17" spans="1:21">
      <c r="A17">
        <v>10</v>
      </c>
      <c r="B17">
        <v>300</v>
      </c>
      <c r="C17">
        <v>4</v>
      </c>
      <c r="D17">
        <f t="shared" si="2"/>
        <v>0</v>
      </c>
      <c r="E17">
        <f>IF(G17&lt;1,1,0)</f>
        <v>0</v>
      </c>
      <c r="F17" s="9">
        <v>10816.3</v>
      </c>
      <c r="G17" s="9">
        <v>100</v>
      </c>
      <c r="H17" s="9">
        <v>1800.35</v>
      </c>
      <c r="I17" s="2"/>
      <c r="N17" s="3"/>
      <c r="O17" s="2"/>
      <c r="U17" s="2"/>
    </row>
    <row r="18" spans="1:21">
      <c r="A18">
        <v>10</v>
      </c>
      <c r="B18">
        <v>300</v>
      </c>
      <c r="C18">
        <v>5</v>
      </c>
      <c r="D18">
        <f t="shared" si="2"/>
        <v>1</v>
      </c>
      <c r="E18">
        <f>IF(G18&lt;1,1,0)</f>
        <v>0</v>
      </c>
      <c r="F18" s="9">
        <v>940.51800000000003</v>
      </c>
      <c r="G18" s="9">
        <v>100</v>
      </c>
      <c r="H18" s="9">
        <v>1800.27</v>
      </c>
      <c r="N18" s="2"/>
      <c r="T18" s="2"/>
    </row>
    <row r="19" spans="1:21">
      <c r="A19" s="14" t="s">
        <v>6</v>
      </c>
      <c r="B19" s="14"/>
      <c r="C19" s="14"/>
      <c r="D19" s="8">
        <f>SUM(D14:D18)</f>
        <v>3</v>
      </c>
      <c r="E19" s="4">
        <f>SUM(E14:E18)</f>
        <v>0</v>
      </c>
      <c r="F19" s="10">
        <f>($D14*F14+$D15*F15+$D16*F16+$D17*F17+$D18*F18)/$D19</f>
        <v>1133.57</v>
      </c>
      <c r="G19" s="10">
        <f>($D14*G14+$D15*G15+$D16*G16+$D17*G17+$D18*G18)/$D19</f>
        <v>100</v>
      </c>
      <c r="H19" s="10">
        <f>AVERAGE(H14:H18)</f>
        <v>1801.0160000000001</v>
      </c>
      <c r="L19" s="3"/>
      <c r="M19" s="2"/>
      <c r="S19" s="2"/>
    </row>
    <row r="20" spans="1:21">
      <c r="A20">
        <v>10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1461.03</v>
      </c>
      <c r="G20" s="9">
        <v>100</v>
      </c>
      <c r="H20" s="9">
        <v>1800.25</v>
      </c>
      <c r="K20" s="3"/>
      <c r="L20" s="2"/>
      <c r="R20" s="2"/>
    </row>
    <row r="21" spans="1:21">
      <c r="A21">
        <v>10</v>
      </c>
      <c r="B21">
        <v>400</v>
      </c>
      <c r="C21">
        <v>2</v>
      </c>
      <c r="D21">
        <f t="shared" ref="D21:D24" si="3">IF(F21&lt;9999,1,0)</f>
        <v>1</v>
      </c>
      <c r="E21">
        <f>IF(G21&lt;1,1,0)</f>
        <v>0</v>
      </c>
      <c r="F21" s="9">
        <v>1344.89</v>
      </c>
      <c r="G21" s="9">
        <v>100</v>
      </c>
      <c r="H21" s="9">
        <v>1800.23</v>
      </c>
      <c r="J21" s="3"/>
      <c r="K21" s="2"/>
      <c r="Q21" s="2"/>
    </row>
    <row r="22" spans="1:21">
      <c r="A22">
        <v>10</v>
      </c>
      <c r="B22">
        <v>400</v>
      </c>
      <c r="C22">
        <v>3</v>
      </c>
      <c r="D22">
        <f t="shared" si="3"/>
        <v>0</v>
      </c>
      <c r="E22">
        <f>IF(G22&lt;1,1,0)</f>
        <v>0</v>
      </c>
      <c r="F22" s="9">
        <v>11335.3</v>
      </c>
      <c r="G22" s="9">
        <v>100</v>
      </c>
      <c r="H22" s="9">
        <v>1800.31</v>
      </c>
      <c r="I22" s="3"/>
      <c r="J22" s="2"/>
      <c r="P22" s="2"/>
    </row>
    <row r="23" spans="1:21">
      <c r="A23">
        <v>10</v>
      </c>
      <c r="B23">
        <v>400</v>
      </c>
      <c r="C23">
        <v>4</v>
      </c>
      <c r="D23">
        <f t="shared" si="3"/>
        <v>0</v>
      </c>
      <c r="E23">
        <f>IF(G23&lt;1,1,0)</f>
        <v>0</v>
      </c>
      <c r="F23" s="9">
        <v>20758.099999999999</v>
      </c>
      <c r="G23" s="9">
        <v>100</v>
      </c>
      <c r="H23" s="9">
        <v>1800.4</v>
      </c>
      <c r="I23" s="2"/>
      <c r="O23" s="2"/>
    </row>
    <row r="24" spans="1:21">
      <c r="A24">
        <v>10</v>
      </c>
      <c r="B24">
        <v>400</v>
      </c>
      <c r="C24">
        <v>5</v>
      </c>
      <c r="D24">
        <f t="shared" si="3"/>
        <v>1</v>
      </c>
      <c r="E24">
        <f>IF(G24&lt;1,1,0)</f>
        <v>0</v>
      </c>
      <c r="F24" s="9">
        <v>617.26099999999997</v>
      </c>
      <c r="G24" s="9">
        <v>100</v>
      </c>
      <c r="H24" s="9">
        <v>1800.41</v>
      </c>
      <c r="N24" s="2"/>
    </row>
    <row r="25" spans="1:21">
      <c r="A25" s="14" t="s">
        <v>6</v>
      </c>
      <c r="B25" s="14"/>
      <c r="C25" s="14"/>
      <c r="D25" s="8">
        <f>SUM(D20:D24)</f>
        <v>3</v>
      </c>
      <c r="E25" s="4">
        <f>SUM(E20:E24)</f>
        <v>0</v>
      </c>
      <c r="F25" s="10">
        <f>($D20*F20+$D21*F21+$D22*F22+$D23*F23+$D24*F24)/$D25</f>
        <v>1141.0603333333333</v>
      </c>
      <c r="G25" s="10">
        <f>($D20*G20+$D21*G21+$D22*G22+$D23*G23+$D24*G24)/$D25</f>
        <v>100</v>
      </c>
      <c r="H25" s="10">
        <f>AVERAGE(H20:H24)</f>
        <v>1800.3200000000002</v>
      </c>
      <c r="M25" s="2"/>
    </row>
    <row r="26" spans="1:21">
      <c r="A26">
        <v>10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1353.74</v>
      </c>
      <c r="G26" s="9">
        <v>100</v>
      </c>
      <c r="H26" s="9">
        <v>1800.15</v>
      </c>
      <c r="L26" s="2"/>
    </row>
    <row r="27" spans="1:21">
      <c r="A27">
        <v>10</v>
      </c>
      <c r="B27">
        <v>500</v>
      </c>
      <c r="C27">
        <v>2</v>
      </c>
      <c r="D27">
        <f t="shared" ref="D27:D30" si="4">IF(F27&lt;9999,1,0)</f>
        <v>1</v>
      </c>
      <c r="E27">
        <f>IF(G27&lt;1,1,0)</f>
        <v>0</v>
      </c>
      <c r="F27" s="9">
        <v>1725.36</v>
      </c>
      <c r="G27" s="9">
        <v>100</v>
      </c>
      <c r="H27" s="9">
        <v>1800.4</v>
      </c>
      <c r="K27" s="2"/>
    </row>
    <row r="28" spans="1:21">
      <c r="A28">
        <v>10</v>
      </c>
      <c r="B28">
        <v>500</v>
      </c>
      <c r="C28">
        <v>3</v>
      </c>
      <c r="D28">
        <f t="shared" si="4"/>
        <v>1</v>
      </c>
      <c r="E28">
        <f>IF(G28&lt;1,1,0)</f>
        <v>0</v>
      </c>
      <c r="F28" s="9">
        <v>942.51700000000005</v>
      </c>
      <c r="G28" s="9">
        <v>100</v>
      </c>
      <c r="H28" s="9">
        <v>1803.72</v>
      </c>
      <c r="J28" s="2"/>
    </row>
    <row r="29" spans="1:21">
      <c r="A29">
        <v>10</v>
      </c>
      <c r="B29">
        <v>500</v>
      </c>
      <c r="C29">
        <v>4</v>
      </c>
      <c r="D29">
        <f t="shared" si="4"/>
        <v>1</v>
      </c>
      <c r="E29">
        <f>IF(G29&lt;1,1,0)</f>
        <v>0</v>
      </c>
      <c r="F29" s="9">
        <v>361.35700000000003</v>
      </c>
      <c r="G29" s="9">
        <v>100</v>
      </c>
      <c r="H29" s="9">
        <v>1800.5</v>
      </c>
      <c r="I29" s="2"/>
    </row>
    <row r="30" spans="1:21">
      <c r="A30">
        <v>10</v>
      </c>
      <c r="B30">
        <v>500</v>
      </c>
      <c r="C30">
        <v>5</v>
      </c>
      <c r="D30">
        <f t="shared" si="4"/>
        <v>0</v>
      </c>
      <c r="E30">
        <f>IF(G30&lt;1,1,0)</f>
        <v>0</v>
      </c>
      <c r="F30" s="9">
        <v>20610.3</v>
      </c>
      <c r="G30" s="9">
        <v>100</v>
      </c>
      <c r="H30" s="9">
        <v>1800.42</v>
      </c>
    </row>
    <row r="31" spans="1:21">
      <c r="A31" s="14" t="s">
        <v>6</v>
      </c>
      <c r="B31" s="14"/>
      <c r="C31" s="14"/>
      <c r="D31" s="8">
        <f>SUM(D26:D30)</f>
        <v>4</v>
      </c>
      <c r="E31" s="4">
        <f>SUM(E26:E30)</f>
        <v>0</v>
      </c>
      <c r="F31" s="10">
        <f>($D26*F26+$D27*F27+$D28*F28+$D29*F29+$D30*F30)/$D31</f>
        <v>1095.7435</v>
      </c>
      <c r="G31" s="10">
        <f>($D26*G26+$D27*G27+$D28*G28+$D29*G29+$D30*G30)/$D31</f>
        <v>100</v>
      </c>
      <c r="H31" s="10">
        <f>AVERAGE(H26:H30)</f>
        <v>1801.038</v>
      </c>
    </row>
    <row r="33" spans="1:8">
      <c r="A33" s="13" t="s">
        <v>8</v>
      </c>
      <c r="B33" s="13"/>
      <c r="C33" s="13"/>
      <c r="D33" s="2">
        <f>SUM(D7,D13,D19,D25,D31)</f>
        <v>17</v>
      </c>
      <c r="E33" s="2">
        <f>SUM(E7,E13,E19,E25,E31)</f>
        <v>0</v>
      </c>
      <c r="F33" s="11">
        <f>(F7*$D7+F13*$D13+F19*$D19+F25*$D25+F31*$D31)/($D7+$D13+$D19+$D25+$D31)</f>
        <v>1029.5258823529414</v>
      </c>
      <c r="G33" s="11">
        <f>(G7*$D7+G13*$D13+G19*$D19+G25*$D25+G31*$D31)/($D7+$D13+$D19+$D25+$D31)</f>
        <v>100</v>
      </c>
      <c r="H33" s="11">
        <f>AVERAGE(H7,H13,H19,H25,H31)</f>
        <v>1800.6368000000002</v>
      </c>
    </row>
    <row r="35" spans="1:8">
      <c r="A35" s="15" t="s">
        <v>9</v>
      </c>
      <c r="B35" s="15"/>
      <c r="C35" s="15"/>
      <c r="D35" s="7">
        <f>SUM('B2'!D33,'B4'!D33,'B6'!D33,'B8'!D33,'B10'!D33)</f>
        <v>113</v>
      </c>
      <c r="E35" s="7">
        <f>SUM('B2'!E33,'B4'!E33,'B6'!E33,'B8'!E33,'B10'!E33)</f>
        <v>63</v>
      </c>
      <c r="F35" s="12">
        <f>('B2'!F33*'B2'!D33+'B4'!F33*'B4'!D33+'B6'!F33*'B6'!D33+'B8'!F33*'B8'!D33+'B10'!F33*'B10'!D33)/'B10'!D35</f>
        <v>481.52725486725672</v>
      </c>
      <c r="G35" s="12">
        <f>('B2'!G33*'B2'!D33+'B4'!G33*'B4'!D33+'B6'!G33*'B6'!D33+'B8'!G33*'B8'!D33+'B10'!G33*'B10'!D33)/'B10'!D35</f>
        <v>41.507916832743355</v>
      </c>
      <c r="H35" s="12">
        <f>AVERAGE('B2'!H33,'B4'!H33,'B6'!H33,'B8'!H33,'B10'!H33)</f>
        <v>925.69750576799993</v>
      </c>
    </row>
  </sheetData>
  <mergeCells count="7">
    <mergeCell ref="A33:C33"/>
    <mergeCell ref="A35:C35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</vt:lpstr>
      <vt:lpstr>B4</vt:lpstr>
      <vt:lpstr>B6</vt:lpstr>
      <vt:lpstr>B8</vt:lpstr>
      <vt:lpstr>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Lingxiao Leo [AAE]</dc:creator>
  <cp:lastModifiedBy>WU, Lingxiao Leo [AAE]</cp:lastModifiedBy>
  <dcterms:created xsi:type="dcterms:W3CDTF">2015-06-05T18:17:20Z</dcterms:created>
  <dcterms:modified xsi:type="dcterms:W3CDTF">2026-04-25T07:31:32Z</dcterms:modified>
</cp:coreProperties>
</file>