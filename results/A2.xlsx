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G:\SBASP\Results\Newdominance\"/>
    </mc:Choice>
  </mc:AlternateContent>
  <xr:revisionPtr revIDLastSave="0" documentId="13_ncr:1_{8C761EA6-A644-4A95-813C-83E25CCABE58}" xr6:coauthVersionLast="36" xr6:coauthVersionMax="47" xr10:uidLastSave="{00000000-0000-0000-0000-000000000000}"/>
  <bookViews>
    <workbookView xWindow="9915" yWindow="1125" windowWidth="17070" windowHeight="11895" activeTab="4" xr2:uid="{00000000-000D-0000-FFFF-FFFF00000000}"/>
  </bookViews>
  <sheets>
    <sheet name="B2" sheetId="1" r:id="rId1"/>
    <sheet name="B4" sheetId="2" r:id="rId2"/>
    <sheet name="B6" sheetId="3" r:id="rId3"/>
    <sheet name="B8" sheetId="4" r:id="rId4"/>
    <sheet name="B10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1" i="5" l="1"/>
  <c r="H25" i="5"/>
  <c r="H19" i="5"/>
  <c r="H13" i="5"/>
  <c r="H7" i="5"/>
  <c r="H33" i="5" s="1"/>
  <c r="H31" i="4"/>
  <c r="H25" i="4"/>
  <c r="H33" i="4" s="1"/>
  <c r="H19" i="4"/>
  <c r="H13" i="4"/>
  <c r="H7" i="4"/>
  <c r="H31" i="3"/>
  <c r="H33" i="3" s="1"/>
  <c r="H25" i="3"/>
  <c r="H19" i="3"/>
  <c r="H13" i="3"/>
  <c r="H7" i="3"/>
  <c r="H31" i="2"/>
  <c r="H25" i="2"/>
  <c r="H19" i="2"/>
  <c r="H13" i="2"/>
  <c r="H7" i="2"/>
  <c r="H33" i="2" s="1"/>
  <c r="H31" i="1"/>
  <c r="H25" i="1"/>
  <c r="H19" i="1"/>
  <c r="H13" i="1"/>
  <c r="H7" i="1"/>
  <c r="H33" i="1" s="1"/>
  <c r="D30" i="1" l="1"/>
  <c r="D29" i="1"/>
  <c r="D28" i="1"/>
  <c r="D27" i="1"/>
  <c r="D26" i="1"/>
  <c r="D24" i="1"/>
  <c r="D23" i="1"/>
  <c r="D22" i="1"/>
  <c r="D21" i="1"/>
  <c r="D20" i="1"/>
  <c r="D18" i="1"/>
  <c r="D17" i="1"/>
  <c r="D16" i="1"/>
  <c r="D15" i="1"/>
  <c r="D14" i="1"/>
  <c r="D12" i="1"/>
  <c r="D11" i="1"/>
  <c r="D10" i="1"/>
  <c r="D9" i="1"/>
  <c r="D8" i="1"/>
  <c r="D6" i="1"/>
  <c r="D5" i="1"/>
  <c r="D4" i="1"/>
  <c r="D3" i="1"/>
  <c r="D2" i="1"/>
  <c r="D30" i="2"/>
  <c r="D29" i="2"/>
  <c r="D28" i="2"/>
  <c r="D27" i="2"/>
  <c r="D26" i="2"/>
  <c r="D24" i="2"/>
  <c r="D23" i="2"/>
  <c r="D22" i="2"/>
  <c r="D21" i="2"/>
  <c r="D20" i="2"/>
  <c r="D18" i="2"/>
  <c r="D17" i="2"/>
  <c r="D16" i="2"/>
  <c r="D15" i="2"/>
  <c r="D14" i="2"/>
  <c r="D12" i="2"/>
  <c r="D11" i="2"/>
  <c r="D10" i="2"/>
  <c r="D9" i="2"/>
  <c r="D8" i="2"/>
  <c r="D6" i="2"/>
  <c r="D5" i="2"/>
  <c r="D4" i="2"/>
  <c r="D3" i="2"/>
  <c r="D2" i="2"/>
  <c r="D30" i="3"/>
  <c r="D29" i="3"/>
  <c r="D28" i="3"/>
  <c r="D27" i="3"/>
  <c r="D26" i="3"/>
  <c r="D24" i="3"/>
  <c r="D23" i="3"/>
  <c r="D22" i="3"/>
  <c r="D21" i="3"/>
  <c r="D20" i="3"/>
  <c r="D18" i="3"/>
  <c r="D17" i="3"/>
  <c r="D16" i="3"/>
  <c r="D15" i="3"/>
  <c r="D14" i="3"/>
  <c r="D12" i="3"/>
  <c r="D11" i="3"/>
  <c r="D10" i="3"/>
  <c r="D9" i="3"/>
  <c r="D8" i="3"/>
  <c r="D6" i="3"/>
  <c r="D5" i="3"/>
  <c r="D4" i="3"/>
  <c r="D3" i="3"/>
  <c r="D2" i="3"/>
  <c r="D30" i="4"/>
  <c r="D29" i="4"/>
  <c r="D28" i="4"/>
  <c r="D27" i="4"/>
  <c r="D26" i="4"/>
  <c r="D24" i="4"/>
  <c r="D23" i="4"/>
  <c r="D22" i="4"/>
  <c r="D21" i="4"/>
  <c r="D20" i="4"/>
  <c r="D18" i="4"/>
  <c r="D17" i="4"/>
  <c r="D16" i="4"/>
  <c r="D15" i="4"/>
  <c r="D14" i="4"/>
  <c r="D12" i="4"/>
  <c r="D11" i="4"/>
  <c r="D10" i="4"/>
  <c r="D9" i="4"/>
  <c r="D8" i="4"/>
  <c r="D6" i="4"/>
  <c r="D5" i="4"/>
  <c r="D4" i="4"/>
  <c r="D3" i="4"/>
  <c r="D2" i="4"/>
  <c r="D30" i="5"/>
  <c r="D29" i="5"/>
  <c r="D28" i="5"/>
  <c r="D27" i="5"/>
  <c r="D26" i="5"/>
  <c r="D24" i="5"/>
  <c r="D23" i="5"/>
  <c r="D22" i="5"/>
  <c r="D21" i="5"/>
  <c r="D20" i="5"/>
  <c r="D18" i="5"/>
  <c r="D17" i="5"/>
  <c r="D16" i="5"/>
  <c r="D15" i="5"/>
  <c r="D14" i="5"/>
  <c r="D12" i="5"/>
  <c r="D11" i="5"/>
  <c r="D10" i="5"/>
  <c r="D9" i="5"/>
  <c r="D8" i="5"/>
  <c r="D6" i="5"/>
  <c r="D5" i="5"/>
  <c r="D4" i="5"/>
  <c r="D3" i="5"/>
  <c r="D2" i="5"/>
  <c r="F19" i="5" l="1"/>
  <c r="G19" i="5"/>
  <c r="G19" i="4"/>
  <c r="F19" i="4"/>
  <c r="D31" i="3"/>
  <c r="F31" i="3" s="1"/>
  <c r="G31" i="3"/>
  <c r="F19" i="3"/>
  <c r="G19" i="3"/>
  <c r="F25" i="2"/>
  <c r="G25" i="2"/>
  <c r="F7" i="2"/>
  <c r="G7" i="2"/>
  <c r="G19" i="1"/>
  <c r="F7" i="1"/>
  <c r="G7" i="1"/>
  <c r="F31" i="1"/>
  <c r="G31" i="1"/>
  <c r="G13" i="1"/>
  <c r="F13" i="1"/>
  <c r="D13" i="5"/>
  <c r="F13" i="5" s="1"/>
  <c r="D25" i="4"/>
  <c r="F25" i="4" s="1"/>
  <c r="D7" i="4"/>
  <c r="D33" i="4" s="1"/>
  <c r="D13" i="3"/>
  <c r="F13" i="3" s="1"/>
  <c r="D25" i="2"/>
  <c r="D25" i="1"/>
  <c r="F25" i="1" s="1"/>
  <c r="D19" i="1"/>
  <c r="F19" i="1" s="1"/>
  <c r="D7" i="1"/>
  <c r="D31" i="5"/>
  <c r="G31" i="5" s="1"/>
  <c r="D19" i="5"/>
  <c r="D7" i="5"/>
  <c r="D25" i="5"/>
  <c r="F25" i="5" s="1"/>
  <c r="D13" i="4"/>
  <c r="F13" i="4" s="1"/>
  <c r="D19" i="4"/>
  <c r="D31" i="4"/>
  <c r="F31" i="4" s="1"/>
  <c r="D7" i="3"/>
  <c r="D19" i="3"/>
  <c r="D25" i="3"/>
  <c r="F25" i="3" s="1"/>
  <c r="D13" i="2"/>
  <c r="F13" i="2" s="1"/>
  <c r="D7" i="2"/>
  <c r="D19" i="2"/>
  <c r="G19" i="2" s="1"/>
  <c r="D31" i="2"/>
  <c r="G31" i="2" s="1"/>
  <c r="D31" i="1"/>
  <c r="D13" i="1"/>
  <c r="E30" i="5"/>
  <c r="E29" i="5"/>
  <c r="E28" i="5"/>
  <c r="E27" i="5"/>
  <c r="E26" i="5"/>
  <c r="E24" i="5"/>
  <c r="E23" i="5"/>
  <c r="E22" i="5"/>
  <c r="E21" i="5"/>
  <c r="E20" i="5"/>
  <c r="E18" i="5"/>
  <c r="E17" i="5"/>
  <c r="E16" i="5"/>
  <c r="E15" i="5"/>
  <c r="E14" i="5"/>
  <c r="E12" i="5"/>
  <c r="E11" i="5"/>
  <c r="E10" i="5"/>
  <c r="E9" i="5"/>
  <c r="E8" i="5"/>
  <c r="E6" i="5"/>
  <c r="E5" i="5"/>
  <c r="E4" i="5"/>
  <c r="E3" i="5"/>
  <c r="E2" i="5"/>
  <c r="E30" i="4"/>
  <c r="E29" i="4"/>
  <c r="E28" i="4"/>
  <c r="E27" i="4"/>
  <c r="E26" i="4"/>
  <c r="E24" i="4"/>
  <c r="E23" i="4"/>
  <c r="E22" i="4"/>
  <c r="E21" i="4"/>
  <c r="E20" i="4"/>
  <c r="E18" i="4"/>
  <c r="E17" i="4"/>
  <c r="E16" i="4"/>
  <c r="E15" i="4"/>
  <c r="E14" i="4"/>
  <c r="E12" i="4"/>
  <c r="E11" i="4"/>
  <c r="E10" i="4"/>
  <c r="E9" i="4"/>
  <c r="E8" i="4"/>
  <c r="E6" i="4"/>
  <c r="E5" i="4"/>
  <c r="E4" i="4"/>
  <c r="E3" i="4"/>
  <c r="E2" i="4"/>
  <c r="E30" i="3"/>
  <c r="E29" i="3"/>
  <c r="E28" i="3"/>
  <c r="E27" i="3"/>
  <c r="E26" i="3"/>
  <c r="E24" i="3"/>
  <c r="E23" i="3"/>
  <c r="E22" i="3"/>
  <c r="E21" i="3"/>
  <c r="E20" i="3"/>
  <c r="E18" i="3"/>
  <c r="E17" i="3"/>
  <c r="E16" i="3"/>
  <c r="E15" i="3"/>
  <c r="E14" i="3"/>
  <c r="E12" i="3"/>
  <c r="E11" i="3"/>
  <c r="E10" i="3"/>
  <c r="E9" i="3"/>
  <c r="E8" i="3"/>
  <c r="E6" i="3"/>
  <c r="E5" i="3"/>
  <c r="E4" i="3"/>
  <c r="E3" i="3"/>
  <c r="E2" i="3"/>
  <c r="E30" i="2"/>
  <c r="E29" i="2"/>
  <c r="E28" i="2"/>
  <c r="E27" i="2"/>
  <c r="E26" i="2"/>
  <c r="E24" i="2"/>
  <c r="E23" i="2"/>
  <c r="E22" i="2"/>
  <c r="E21" i="2"/>
  <c r="E20" i="2"/>
  <c r="E18" i="2"/>
  <c r="E17" i="2"/>
  <c r="E16" i="2"/>
  <c r="E15" i="2"/>
  <c r="E14" i="2"/>
  <c r="E12" i="2"/>
  <c r="E11" i="2"/>
  <c r="E10" i="2"/>
  <c r="E9" i="2"/>
  <c r="E8" i="2"/>
  <c r="E6" i="2"/>
  <c r="E5" i="2"/>
  <c r="E4" i="2"/>
  <c r="E3" i="2"/>
  <c r="E2" i="2"/>
  <c r="E30" i="1"/>
  <c r="E29" i="1"/>
  <c r="E28" i="1"/>
  <c r="E27" i="1"/>
  <c r="E26" i="1"/>
  <c r="E24" i="1"/>
  <c r="E23" i="1"/>
  <c r="E22" i="1"/>
  <c r="E21" i="1"/>
  <c r="E20" i="1"/>
  <c r="E18" i="1"/>
  <c r="E17" i="1"/>
  <c r="E16" i="1"/>
  <c r="E15" i="1"/>
  <c r="E14" i="1"/>
  <c r="E12" i="1"/>
  <c r="E11" i="1"/>
  <c r="E10" i="1"/>
  <c r="E9" i="1"/>
  <c r="E8" i="1"/>
  <c r="E6" i="1"/>
  <c r="E5" i="1"/>
  <c r="E4" i="1"/>
  <c r="E3" i="1"/>
  <c r="E2" i="1"/>
  <c r="E7" i="1" s="1"/>
  <c r="D33" i="5" l="1"/>
  <c r="G7" i="5"/>
  <c r="G13" i="5"/>
  <c r="F31" i="5"/>
  <c r="G25" i="5"/>
  <c r="F7" i="5"/>
  <c r="F33" i="5" s="1"/>
  <c r="G7" i="4"/>
  <c r="G25" i="4"/>
  <c r="G31" i="4"/>
  <c r="G13" i="4"/>
  <c r="F7" i="4"/>
  <c r="F33" i="4" s="1"/>
  <c r="G13" i="3"/>
  <c r="D33" i="3"/>
  <c r="G7" i="3"/>
  <c r="G33" i="3" s="1"/>
  <c r="G25" i="3"/>
  <c r="F7" i="3"/>
  <c r="F33" i="3" s="1"/>
  <c r="F19" i="2"/>
  <c r="F33" i="2" s="1"/>
  <c r="G13" i="2"/>
  <c r="G33" i="2" s="1"/>
  <c r="F31" i="2"/>
  <c r="D33" i="2"/>
  <c r="E19" i="2"/>
  <c r="G25" i="1"/>
  <c r="G33" i="1"/>
  <c r="F33" i="1"/>
  <c r="D33" i="1"/>
  <c r="E31" i="3"/>
  <c r="E19" i="3"/>
  <c r="E19" i="5"/>
  <c r="E7" i="3"/>
  <c r="E7" i="5"/>
  <c r="E31" i="4"/>
  <c r="E31" i="5"/>
  <c r="E25" i="4"/>
  <c r="E13" i="4"/>
  <c r="E7" i="2"/>
  <c r="E25" i="2"/>
  <c r="E19" i="4"/>
  <c r="E7" i="4"/>
  <c r="E33" i="4" s="1"/>
  <c r="E25" i="3"/>
  <c r="E13" i="3"/>
  <c r="E13" i="2"/>
  <c r="E31" i="2"/>
  <c r="E25" i="1"/>
  <c r="E13" i="1"/>
  <c r="E33" i="1" s="1"/>
  <c r="E31" i="1"/>
  <c r="E19" i="1"/>
  <c r="E25" i="5"/>
  <c r="E13" i="5"/>
  <c r="E33" i="5" l="1"/>
  <c r="G33" i="5"/>
  <c r="G33" i="4"/>
  <c r="E33" i="3"/>
  <c r="E33" i="2"/>
  <c r="D35" i="5"/>
  <c r="F35" i="5"/>
  <c r="H35" i="5"/>
  <c r="G35" i="5" l="1"/>
  <c r="E35" i="5"/>
</calcChain>
</file>

<file path=xl/sharedStrings.xml><?xml version="1.0" encoding="utf-8"?>
<sst xmlns="http://schemas.openxmlformats.org/spreadsheetml/2006/main" count="71" uniqueCount="11">
  <si>
    <t>B</t>
  </si>
  <si>
    <t>S</t>
  </si>
  <si>
    <t>C</t>
  </si>
  <si>
    <t>Gap</t>
  </si>
  <si>
    <t>Time</t>
  </si>
  <si>
    <t>Obj</t>
  </si>
  <si>
    <t>Average</t>
  </si>
  <si>
    <t>Opt</t>
    <phoneticPr fontId="3" type="noConversion"/>
  </si>
  <si>
    <t>Total</t>
    <phoneticPr fontId="3" type="noConversion"/>
  </si>
  <si>
    <t>Summary</t>
    <phoneticPr fontId="3" type="noConversion"/>
  </si>
  <si>
    <t>Fsl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</si>
</sst>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);[Red]\(0.00\)"/>
    <numFmt numFmtId="165" formatCode="0.0"/>
    <numFmt numFmtId="166" formatCode="0.0;[Red]0.0"/>
  </numFmts>
  <fonts count="6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2" fillId="2" borderId="0" xfId="0" applyFont="1" applyFill="1" applyAlignment="1">
      <alignment horizontal="center"/>
    </xf>
    <xf numFmtId="164" fontId="2" fillId="0" borderId="0" xfId="0" applyNumberFormat="1" applyFont="1" applyAlignment="1">
      <alignment horizontal="center"/>
    </xf>
    <xf numFmtId="164" fontId="0" fillId="0" borderId="0" xfId="0" applyNumberFormat="1"/>
    <xf numFmtId="0" fontId="5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NumberFormat="1"/>
    <xf numFmtId="165" fontId="2" fillId="0" borderId="0" xfId="0" applyNumberFormat="1" applyFont="1"/>
    <xf numFmtId="166" fontId="2" fillId="0" borderId="0" xfId="0" applyNumberFormat="1" applyFont="1"/>
    <xf numFmtId="166" fontId="5" fillId="0" borderId="0" xfId="0" applyNumberFormat="1" applyFont="1"/>
    <xf numFmtId="0" fontId="4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3"/>
  <sheetViews>
    <sheetView workbookViewId="0">
      <selection activeCell="I18" sqref="I18"/>
    </sheetView>
  </sheetViews>
  <sheetFormatPr defaultRowHeight="15"/>
  <cols>
    <col min="6" max="6" width="9.42578125" customWidth="1"/>
    <col min="7" max="7" width="8.85546875" style="6"/>
  </cols>
  <sheetData>
    <row r="1" spans="1:36">
      <c r="A1" s="1" t="s">
        <v>0</v>
      </c>
      <c r="B1" s="1" t="s">
        <v>1</v>
      </c>
      <c r="C1" s="1" t="s">
        <v>2</v>
      </c>
      <c r="D1" s="1" t="s">
        <v>10</v>
      </c>
      <c r="E1" s="1" t="s">
        <v>7</v>
      </c>
      <c r="F1" s="1" t="s">
        <v>5</v>
      </c>
      <c r="G1" s="5" t="s">
        <v>3</v>
      </c>
      <c r="H1" s="1" t="s">
        <v>4</v>
      </c>
    </row>
    <row r="2" spans="1:36">
      <c r="A2">
        <v>2</v>
      </c>
      <c r="B2">
        <v>100</v>
      </c>
      <c r="C2">
        <v>1</v>
      </c>
      <c r="D2">
        <f>IF(F2&lt;9999,1,0)</f>
        <v>1</v>
      </c>
      <c r="E2">
        <f>IF(G2&lt;1,1,0)</f>
        <v>1</v>
      </c>
      <c r="F2" s="9">
        <v>46.237000000000002</v>
      </c>
      <c r="G2" s="9">
        <v>0</v>
      </c>
      <c r="H2" s="9">
        <v>8.2050000000000005E-3</v>
      </c>
      <c r="N2" s="2"/>
      <c r="T2" s="2"/>
      <c r="Z2" s="2"/>
      <c r="AE2" s="3"/>
      <c r="AF2" s="2"/>
    </row>
    <row r="3" spans="1:36">
      <c r="A3">
        <v>2</v>
      </c>
      <c r="B3">
        <v>100</v>
      </c>
      <c r="C3">
        <v>2</v>
      </c>
      <c r="D3">
        <f>IF(F3&lt;9999,1,0)</f>
        <v>1</v>
      </c>
      <c r="E3">
        <f t="shared" ref="E3:E6" si="0">IF(G3&lt;1,1,0)</f>
        <v>1</v>
      </c>
      <c r="F3" s="9">
        <v>415.64299999999997</v>
      </c>
      <c r="G3" s="9">
        <v>0</v>
      </c>
      <c r="H3" s="9">
        <v>2.7623000000000002E-2</v>
      </c>
      <c r="M3" s="2"/>
      <c r="S3" s="2"/>
      <c r="Y3" s="2"/>
      <c r="AD3" s="3"/>
      <c r="AE3" s="2"/>
    </row>
    <row r="4" spans="1:36">
      <c r="A4">
        <v>2</v>
      </c>
      <c r="B4">
        <v>100</v>
      </c>
      <c r="C4">
        <v>3</v>
      </c>
      <c r="D4">
        <f>IF(F4&lt;9999,1,0)</f>
        <v>1</v>
      </c>
      <c r="E4">
        <f t="shared" si="0"/>
        <v>1</v>
      </c>
      <c r="F4" s="9">
        <v>119.907</v>
      </c>
      <c r="G4" s="9">
        <v>0.97383799999999998</v>
      </c>
      <c r="H4" s="9">
        <v>8.6188000000000001E-2</v>
      </c>
      <c r="L4" s="2"/>
      <c r="R4" s="2"/>
      <c r="X4" s="2"/>
      <c r="AC4" s="3"/>
      <c r="AD4" s="2"/>
      <c r="AJ4" s="2"/>
    </row>
    <row r="5" spans="1:36">
      <c r="A5">
        <v>2</v>
      </c>
      <c r="B5">
        <v>100</v>
      </c>
      <c r="C5">
        <v>4</v>
      </c>
      <c r="D5">
        <f>IF(F5&lt;9999,1,0)</f>
        <v>1</v>
      </c>
      <c r="E5">
        <f t="shared" si="0"/>
        <v>1</v>
      </c>
      <c r="F5" s="9">
        <v>78.393299999999996</v>
      </c>
      <c r="G5" s="9">
        <v>0</v>
      </c>
      <c r="H5" s="9">
        <v>3.9020000000000001E-3</v>
      </c>
      <c r="K5" s="2"/>
      <c r="Q5" s="2"/>
      <c r="W5" s="2"/>
      <c r="AB5" s="3"/>
      <c r="AC5" s="2"/>
      <c r="AI5" s="2"/>
    </row>
    <row r="6" spans="1:36">
      <c r="A6">
        <v>2</v>
      </c>
      <c r="B6">
        <v>100</v>
      </c>
      <c r="C6">
        <v>5</v>
      </c>
      <c r="D6">
        <f>IF(F6&lt;9999,1,0)</f>
        <v>1</v>
      </c>
      <c r="E6">
        <f t="shared" si="0"/>
        <v>1</v>
      </c>
      <c r="F6" s="9">
        <v>152.58799999999999</v>
      </c>
      <c r="G6" s="9">
        <v>0.186667</v>
      </c>
      <c r="H6" s="9">
        <v>5.9625999999999998E-2</v>
      </c>
      <c r="I6" s="2"/>
      <c r="J6" s="2"/>
      <c r="P6" s="2"/>
      <c r="V6" s="2"/>
      <c r="AA6" s="3"/>
      <c r="AB6" s="2"/>
      <c r="AH6" s="2"/>
    </row>
    <row r="7" spans="1:36" s="2" customFormat="1">
      <c r="A7" s="14" t="s">
        <v>6</v>
      </c>
      <c r="B7" s="14"/>
      <c r="C7" s="14"/>
      <c r="D7" s="8">
        <f>SUM(D2:D6)</f>
        <v>5</v>
      </c>
      <c r="E7" s="4">
        <f>SUM(E2:E6)</f>
        <v>5</v>
      </c>
      <c r="F7" s="10">
        <f>($D2*F2+$D3*F3+$D4*F4+$D5*F5+$D6*F6)/$D7</f>
        <v>162.55365999999998</v>
      </c>
      <c r="G7" s="10">
        <f>($D2*G2+$D3*G3+$D4*G4+$D5*G5+$D6*G6)/$D7</f>
        <v>0.23210099999999997</v>
      </c>
      <c r="H7" s="10">
        <f>AVERAGE(H2:H6)</f>
        <v>3.7108799999999997E-2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</row>
    <row r="8" spans="1:36">
      <c r="A8">
        <v>2</v>
      </c>
      <c r="B8">
        <v>200</v>
      </c>
      <c r="C8">
        <v>1</v>
      </c>
      <c r="D8">
        <f>IF(F8&lt;9999,1,0)</f>
        <v>1</v>
      </c>
      <c r="E8">
        <f>IF(G8&lt;1,1,0)</f>
        <v>1</v>
      </c>
      <c r="F8" s="9">
        <v>58.189300000000003</v>
      </c>
      <c r="G8" s="9">
        <v>0</v>
      </c>
      <c r="H8" s="9">
        <v>2.6121999999999999E-2</v>
      </c>
      <c r="N8" s="2"/>
      <c r="T8" s="2"/>
      <c r="Y8" s="3"/>
      <c r="Z8" s="2"/>
      <c r="AF8" s="2"/>
    </row>
    <row r="9" spans="1:36">
      <c r="A9">
        <v>2</v>
      </c>
      <c r="B9">
        <v>200</v>
      </c>
      <c r="C9">
        <v>2</v>
      </c>
      <c r="D9">
        <f>IF(F9&lt;9999,1,0)</f>
        <v>1</v>
      </c>
      <c r="E9">
        <f t="shared" ref="E9:E12" si="1">IF(G9&lt;1,1,0)</f>
        <v>1</v>
      </c>
      <c r="F9" s="9">
        <v>206.28299999999999</v>
      </c>
      <c r="G9" s="9">
        <v>0.25692199999999998</v>
      </c>
      <c r="H9" s="9">
        <v>2.9503999999999999E-2</v>
      </c>
      <c r="M9" s="2"/>
      <c r="S9" s="2"/>
      <c r="X9" s="3"/>
      <c r="Y9" s="2"/>
      <c r="AE9" s="2"/>
    </row>
    <row r="10" spans="1:36">
      <c r="A10">
        <v>2</v>
      </c>
      <c r="B10">
        <v>200</v>
      </c>
      <c r="C10">
        <v>3</v>
      </c>
      <c r="D10">
        <f>IF(F10&lt;9999,1,0)</f>
        <v>1</v>
      </c>
      <c r="E10">
        <f t="shared" si="1"/>
        <v>1</v>
      </c>
      <c r="F10" s="9">
        <v>98.631100000000004</v>
      </c>
      <c r="G10" s="9">
        <v>0</v>
      </c>
      <c r="H10" s="9">
        <v>2.5205000000000002E-2</v>
      </c>
      <c r="L10" s="2"/>
      <c r="R10" s="2"/>
      <c r="W10" s="3"/>
      <c r="X10" s="2"/>
      <c r="AD10" s="2"/>
    </row>
    <row r="11" spans="1:36">
      <c r="A11">
        <v>2</v>
      </c>
      <c r="B11">
        <v>200</v>
      </c>
      <c r="C11">
        <v>4</v>
      </c>
      <c r="D11">
        <f>IF(F11&lt;9999,1,0)</f>
        <v>1</v>
      </c>
      <c r="E11">
        <f t="shared" si="1"/>
        <v>1</v>
      </c>
      <c r="F11" s="9">
        <v>109.16500000000001</v>
      </c>
      <c r="G11" s="9">
        <v>0.82369800000000004</v>
      </c>
      <c r="H11" s="9">
        <v>0.11597499999999999</v>
      </c>
      <c r="K11" s="2"/>
      <c r="Q11" s="2"/>
      <c r="V11" s="3"/>
      <c r="W11" s="2"/>
      <c r="AC11" s="2"/>
    </row>
    <row r="12" spans="1:36">
      <c r="A12">
        <v>2</v>
      </c>
      <c r="B12">
        <v>200</v>
      </c>
      <c r="C12">
        <v>5</v>
      </c>
      <c r="D12">
        <f>IF(F12&lt;9999,1,0)</f>
        <v>1</v>
      </c>
      <c r="E12">
        <f t="shared" si="1"/>
        <v>1</v>
      </c>
      <c r="F12" s="9">
        <v>85.533000000000001</v>
      </c>
      <c r="G12" s="9">
        <v>0.25157000000000002</v>
      </c>
      <c r="H12" s="9">
        <v>3.2804E-2</v>
      </c>
      <c r="I12" s="2"/>
      <c r="J12" s="2"/>
      <c r="P12" s="2"/>
      <c r="U12" s="3"/>
      <c r="V12" s="2"/>
      <c r="AB12" s="2"/>
    </row>
    <row r="13" spans="1:36" s="2" customFormat="1">
      <c r="A13" s="14" t="s">
        <v>6</v>
      </c>
      <c r="B13" s="14"/>
      <c r="C13" s="14"/>
      <c r="D13" s="8">
        <f>SUM(D8:D12)</f>
        <v>5</v>
      </c>
      <c r="E13" s="4">
        <f>SUM(E8:E12)</f>
        <v>5</v>
      </c>
      <c r="F13" s="10">
        <f>($D8*F8+$D9*F9+$D10*F10+$D11*F11+$D12*F12)/$D13</f>
        <v>111.56028000000001</v>
      </c>
      <c r="G13" s="10">
        <f>($D8*G8+$D9*G9+$D10*G10+$D11*G11+$D12*G12)/$D13</f>
        <v>0.26643800000000006</v>
      </c>
      <c r="H13" s="10">
        <f>AVERAGE(H8:H12)</f>
        <v>4.5921999999999998E-2</v>
      </c>
      <c r="I13"/>
      <c r="J13"/>
      <c r="K13"/>
      <c r="L13"/>
      <c r="M13"/>
      <c r="N13"/>
      <c r="P13"/>
      <c r="Q13"/>
      <c r="R13"/>
      <c r="S13"/>
      <c r="T13"/>
      <c r="V13"/>
      <c r="W13"/>
      <c r="X13"/>
      <c r="Y13"/>
      <c r="Z13"/>
      <c r="AB13"/>
      <c r="AC13"/>
      <c r="AD13"/>
      <c r="AE13"/>
      <c r="AF13"/>
      <c r="AG13"/>
      <c r="AH13"/>
      <c r="AI13"/>
    </row>
    <row r="14" spans="1:36">
      <c r="A14">
        <v>2</v>
      </c>
      <c r="B14">
        <v>300</v>
      </c>
      <c r="C14">
        <v>1</v>
      </c>
      <c r="D14">
        <f>IF(F14&lt;9999,1,0)</f>
        <v>1</v>
      </c>
      <c r="E14">
        <f>IF(G14&lt;1,1,0)</f>
        <v>1</v>
      </c>
      <c r="F14" s="9">
        <v>44.0792</v>
      </c>
      <c r="G14" s="9">
        <v>0.67672500000000002</v>
      </c>
      <c r="H14" s="9">
        <v>5.4986E-2</v>
      </c>
      <c r="N14" s="2"/>
      <c r="S14" s="3"/>
      <c r="T14" s="2"/>
      <c r="Z14" s="2"/>
    </row>
    <row r="15" spans="1:36">
      <c r="A15">
        <v>2</v>
      </c>
      <c r="B15">
        <v>300</v>
      </c>
      <c r="C15">
        <v>2</v>
      </c>
      <c r="D15">
        <f>IF(F15&lt;9999,1,0)</f>
        <v>1</v>
      </c>
      <c r="E15">
        <f t="shared" ref="E15:E18" si="2">IF(G15&lt;1,1,0)</f>
        <v>1</v>
      </c>
      <c r="F15" s="9">
        <v>109.68</v>
      </c>
      <c r="G15" s="9">
        <v>0</v>
      </c>
      <c r="H15" s="9">
        <v>0.23602300000000001</v>
      </c>
      <c r="M15" s="2"/>
      <c r="R15" s="3"/>
      <c r="S15" s="2"/>
      <c r="Y15" s="2"/>
    </row>
    <row r="16" spans="1:36">
      <c r="A16">
        <v>2</v>
      </c>
      <c r="B16">
        <v>300</v>
      </c>
      <c r="C16">
        <v>3</v>
      </c>
      <c r="D16">
        <f>IF(F16&lt;9999,1,0)</f>
        <v>1</v>
      </c>
      <c r="E16">
        <f t="shared" si="2"/>
        <v>1</v>
      </c>
      <c r="F16" s="9">
        <v>125.589</v>
      </c>
      <c r="G16" s="9">
        <v>0.86400500000000002</v>
      </c>
      <c r="H16" s="9">
        <v>0.27398099999999997</v>
      </c>
      <c r="L16" s="2"/>
      <c r="Q16" s="3"/>
      <c r="R16" s="2"/>
      <c r="X16" s="2"/>
    </row>
    <row r="17" spans="1:35">
      <c r="A17">
        <v>2</v>
      </c>
      <c r="B17">
        <v>300</v>
      </c>
      <c r="C17">
        <v>4</v>
      </c>
      <c r="D17">
        <f>IF(F17&lt;9999,1,0)</f>
        <v>1</v>
      </c>
      <c r="E17">
        <f t="shared" si="2"/>
        <v>1</v>
      </c>
      <c r="F17" s="9">
        <v>96.915499999999994</v>
      </c>
      <c r="G17" s="9">
        <v>0</v>
      </c>
      <c r="H17" s="9">
        <v>3.1108E-2</v>
      </c>
      <c r="K17" s="2"/>
      <c r="P17" s="3"/>
      <c r="Q17" s="2"/>
      <c r="W17" s="2"/>
    </row>
    <row r="18" spans="1:35">
      <c r="A18">
        <v>2</v>
      </c>
      <c r="B18">
        <v>300</v>
      </c>
      <c r="C18">
        <v>5</v>
      </c>
      <c r="D18">
        <f>IF(F18&lt;9999,1,0)</f>
        <v>1</v>
      </c>
      <c r="E18">
        <f t="shared" si="2"/>
        <v>1</v>
      </c>
      <c r="F18" s="9">
        <v>93.454499999999996</v>
      </c>
      <c r="G18" s="9">
        <v>0.93349800000000005</v>
      </c>
      <c r="H18" s="9">
        <v>0.25477</v>
      </c>
      <c r="I18" s="2"/>
      <c r="J18" s="2"/>
      <c r="O18" s="3"/>
      <c r="P18" s="2"/>
      <c r="V18" s="2"/>
    </row>
    <row r="19" spans="1:35" s="2" customFormat="1">
      <c r="A19" s="14" t="s">
        <v>6</v>
      </c>
      <c r="B19" s="14"/>
      <c r="C19" s="14"/>
      <c r="D19" s="8">
        <f>SUM(D14:D18)</f>
        <v>5</v>
      </c>
      <c r="E19" s="4">
        <f>SUM(E14:E18)</f>
        <v>5</v>
      </c>
      <c r="F19" s="10">
        <f>($D14*F14+$D15*F15+$D16*F16+$D17*F17+$D18*F18)/$D19</f>
        <v>93.943640000000002</v>
      </c>
      <c r="G19" s="10">
        <f>($D14*G14+$D15*G15+$D16*G16+$D17*G17+$D18*G18)/$D19</f>
        <v>0.4948456</v>
      </c>
      <c r="H19" s="10">
        <f>AVERAGE(H14:H18)</f>
        <v>0.17017359999999998</v>
      </c>
      <c r="I19"/>
      <c r="J19"/>
      <c r="K19"/>
      <c r="L19"/>
      <c r="M19"/>
      <c r="N19"/>
      <c r="P19"/>
      <c r="Q19"/>
      <c r="R19"/>
      <c r="S19"/>
      <c r="T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</row>
    <row r="20" spans="1:35">
      <c r="A20">
        <v>2</v>
      </c>
      <c r="B20">
        <v>400</v>
      </c>
      <c r="C20">
        <v>1</v>
      </c>
      <c r="D20">
        <f>IF(F20&lt;9999,1,0)</f>
        <v>1</v>
      </c>
      <c r="E20">
        <f>IF(G20&lt;1,1,0)</f>
        <v>1</v>
      </c>
      <c r="F20" s="9">
        <v>121.68</v>
      </c>
      <c r="G20" s="9">
        <v>0.60670800000000003</v>
      </c>
      <c r="H20" s="9">
        <v>0.19837299999999999</v>
      </c>
      <c r="M20" s="3"/>
      <c r="N20" s="2"/>
      <c r="T20" s="2"/>
    </row>
    <row r="21" spans="1:35">
      <c r="A21">
        <v>2</v>
      </c>
      <c r="B21">
        <v>400</v>
      </c>
      <c r="C21">
        <v>2</v>
      </c>
      <c r="D21">
        <f>IF(F21&lt;9999,1,0)</f>
        <v>1</v>
      </c>
      <c r="E21">
        <f t="shared" ref="E21:E24" si="3">IF(G21&lt;1,1,0)</f>
        <v>1</v>
      </c>
      <c r="F21" s="9">
        <v>213.23699999999999</v>
      </c>
      <c r="G21" s="9">
        <v>0</v>
      </c>
      <c r="H21" s="9">
        <v>5.8680000000000003E-2</v>
      </c>
      <c r="L21" s="3"/>
      <c r="M21" s="2"/>
      <c r="S21" s="2"/>
    </row>
    <row r="22" spans="1:35">
      <c r="A22">
        <v>2</v>
      </c>
      <c r="B22">
        <v>400</v>
      </c>
      <c r="C22">
        <v>3</v>
      </c>
      <c r="D22">
        <f>IF(F22&lt;9999,1,0)</f>
        <v>1</v>
      </c>
      <c r="E22">
        <f t="shared" si="3"/>
        <v>1</v>
      </c>
      <c r="F22" s="9">
        <v>142.18299999999999</v>
      </c>
      <c r="G22" s="9">
        <v>0.75657600000000003</v>
      </c>
      <c r="H22" s="9">
        <v>0.15298500000000001</v>
      </c>
      <c r="K22" s="3"/>
      <c r="L22" s="2"/>
      <c r="R22" s="2"/>
    </row>
    <row r="23" spans="1:35">
      <c r="A23">
        <v>2</v>
      </c>
      <c r="B23">
        <v>400</v>
      </c>
      <c r="C23">
        <v>4</v>
      </c>
      <c r="D23">
        <f>IF(F23&lt;9999,1,0)</f>
        <v>1</v>
      </c>
      <c r="E23">
        <f t="shared" si="3"/>
        <v>1</v>
      </c>
      <c r="F23" s="9">
        <v>38.915199999999999</v>
      </c>
      <c r="G23" s="9">
        <v>0</v>
      </c>
      <c r="H23" s="9">
        <v>4.9500000000000002E-2</v>
      </c>
      <c r="I23" s="3"/>
      <c r="J23" s="3"/>
      <c r="K23" s="2"/>
      <c r="Q23" s="2"/>
    </row>
    <row r="24" spans="1:35">
      <c r="A24">
        <v>2</v>
      </c>
      <c r="B24">
        <v>400</v>
      </c>
      <c r="C24">
        <v>5</v>
      </c>
      <c r="D24">
        <f>IF(F24&lt;9999,1,0)</f>
        <v>1</v>
      </c>
      <c r="E24">
        <f t="shared" si="3"/>
        <v>1</v>
      </c>
      <c r="F24" s="9">
        <v>95.059799999999996</v>
      </c>
      <c r="G24" s="9">
        <v>0</v>
      </c>
      <c r="H24" s="9">
        <v>5.2396999999999999E-2</v>
      </c>
      <c r="I24" s="2"/>
      <c r="J24" s="2"/>
      <c r="P24" s="2"/>
    </row>
    <row r="25" spans="1:35" s="2" customFormat="1">
      <c r="A25" s="14" t="s">
        <v>6</v>
      </c>
      <c r="B25" s="14"/>
      <c r="C25" s="14"/>
      <c r="D25" s="8">
        <f>SUM(D20:D24)</f>
        <v>5</v>
      </c>
      <c r="E25" s="4">
        <f>SUM(E20:E24)</f>
        <v>5</v>
      </c>
      <c r="F25" s="10">
        <f>($D20*F20+$D21*F21+$D22*F22+$D23*F23+$D24*F24)/$D25</f>
        <v>122.215</v>
      </c>
      <c r="G25" s="10">
        <f>($D20*G20+$D21*G21+$D22*G22+$D23*G23+$D24*G24)/$D25</f>
        <v>0.27265680000000003</v>
      </c>
      <c r="H25" s="10">
        <f>AVERAGE(H20:H24)</f>
        <v>0.10238700000000001</v>
      </c>
      <c r="I25"/>
      <c r="J25"/>
      <c r="K25"/>
      <c r="L25"/>
      <c r="M25"/>
      <c r="N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</row>
    <row r="26" spans="1:35">
      <c r="A26">
        <v>2</v>
      </c>
      <c r="B26">
        <v>500</v>
      </c>
      <c r="C26">
        <v>1</v>
      </c>
      <c r="D26">
        <f>IF(F26&lt;9999,1,0)</f>
        <v>1</v>
      </c>
      <c r="E26">
        <f>IF(G26&lt;1,1,0)</f>
        <v>1</v>
      </c>
      <c r="F26" s="9">
        <v>168.66</v>
      </c>
      <c r="G26" s="9">
        <v>0</v>
      </c>
      <c r="H26" s="9">
        <v>2.3675000000000002E-2</v>
      </c>
      <c r="N26" s="2"/>
    </row>
    <row r="27" spans="1:35">
      <c r="A27">
        <v>2</v>
      </c>
      <c r="B27">
        <v>500</v>
      </c>
      <c r="C27">
        <v>2</v>
      </c>
      <c r="D27">
        <f>IF(F27&lt;9999,1,0)</f>
        <v>1</v>
      </c>
      <c r="E27">
        <f t="shared" ref="E27:E30" si="4">IF(G27&lt;1,1,0)</f>
        <v>1</v>
      </c>
      <c r="F27" s="9">
        <v>222.35400000000001</v>
      </c>
      <c r="G27" s="9">
        <v>0</v>
      </c>
      <c r="H27" s="9">
        <v>0.10555</v>
      </c>
      <c r="M27" s="2"/>
    </row>
    <row r="28" spans="1:35">
      <c r="A28">
        <v>2</v>
      </c>
      <c r="B28">
        <v>500</v>
      </c>
      <c r="C28">
        <v>3</v>
      </c>
      <c r="D28">
        <f>IF(F28&lt;9999,1,0)</f>
        <v>1</v>
      </c>
      <c r="E28">
        <f t="shared" si="4"/>
        <v>1</v>
      </c>
      <c r="F28" s="9">
        <v>154.19800000000001</v>
      </c>
      <c r="G28" s="9">
        <v>0</v>
      </c>
      <c r="H28" s="9">
        <v>6.7596499999999997</v>
      </c>
      <c r="L28" s="2"/>
    </row>
    <row r="29" spans="1:35">
      <c r="A29">
        <v>2</v>
      </c>
      <c r="B29">
        <v>500</v>
      </c>
      <c r="C29">
        <v>4</v>
      </c>
      <c r="D29">
        <f>IF(F29&lt;9999,1,0)</f>
        <v>1</v>
      </c>
      <c r="E29">
        <f t="shared" si="4"/>
        <v>1</v>
      </c>
      <c r="F29" s="9">
        <v>366.56400000000002</v>
      </c>
      <c r="G29" s="9">
        <v>0.691079</v>
      </c>
      <c r="H29" s="9">
        <v>0.681334</v>
      </c>
      <c r="K29" s="2"/>
    </row>
    <row r="30" spans="1:35">
      <c r="A30">
        <v>2</v>
      </c>
      <c r="B30">
        <v>500</v>
      </c>
      <c r="C30">
        <v>5</v>
      </c>
      <c r="D30">
        <f>IF(F30&lt;9999,1,0)</f>
        <v>1</v>
      </c>
      <c r="E30">
        <f t="shared" si="4"/>
        <v>1</v>
      </c>
      <c r="F30" s="9">
        <v>118.18600000000001</v>
      </c>
      <c r="G30" s="9">
        <v>0.562662</v>
      </c>
      <c r="H30" s="9">
        <v>1.12713</v>
      </c>
      <c r="I30" s="2"/>
      <c r="J30" s="2"/>
    </row>
    <row r="31" spans="1:35" s="2" customFormat="1">
      <c r="A31" s="14" t="s">
        <v>6</v>
      </c>
      <c r="B31" s="14"/>
      <c r="C31" s="14"/>
      <c r="D31" s="8">
        <f>SUM(D26:D30)</f>
        <v>5</v>
      </c>
      <c r="E31" s="4">
        <f>SUM(E26:E30)</f>
        <v>5</v>
      </c>
      <c r="F31" s="10">
        <f>($D26*F26+$D27*F27+$D28*F28+$D29*F29+$D30*F30)/$D31</f>
        <v>205.9924</v>
      </c>
      <c r="G31" s="10">
        <f>($D26*G26+$D27*G27+$D28*G28+$D29*G29+$D30*G30)/$D31</f>
        <v>0.25074819999999998</v>
      </c>
      <c r="H31" s="10">
        <f>AVERAGE(H26:H30)</f>
        <v>1.7394677999999999</v>
      </c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</row>
    <row r="33" spans="1:8">
      <c r="A33" s="13" t="s">
        <v>8</v>
      </c>
      <c r="B33" s="13"/>
      <c r="C33" s="13"/>
      <c r="D33" s="2">
        <f>SUM(D7,D13,D19,D25,D31)</f>
        <v>25</v>
      </c>
      <c r="E33" s="2">
        <f>SUM(E7,E13,E19,E25,E31)</f>
        <v>25</v>
      </c>
      <c r="F33" s="11">
        <f>(F7*$D7+F13*$D13+F19*$D19+F25*$D25+F31*$D31)/($D7+$D13+$D19+$D25+$D31)</f>
        <v>139.252996</v>
      </c>
      <c r="G33" s="11">
        <f>(G7*$D7+G13*$D13+G19*$D19+G25*$D25+G31*$D31)/($D7+$D13+$D19+$D25+$D31)</f>
        <v>0.30335792</v>
      </c>
      <c r="H33" s="11">
        <f>AVERAGE(H7,H13,H19,H25,H31)</f>
        <v>0.41901183999999991</v>
      </c>
    </row>
  </sheetData>
  <mergeCells count="6">
    <mergeCell ref="A33:C33"/>
    <mergeCell ref="A7:C7"/>
    <mergeCell ref="A13:C13"/>
    <mergeCell ref="A19:C19"/>
    <mergeCell ref="A25:C25"/>
    <mergeCell ref="A31:C31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10C17-C7CF-43B8-B59B-D85A075B17C4}">
  <dimension ref="A1:AJ55"/>
  <sheetViews>
    <sheetView workbookViewId="0">
      <selection activeCell="I17" sqref="I17"/>
    </sheetView>
  </sheetViews>
  <sheetFormatPr defaultRowHeight="15"/>
  <cols>
    <col min="6" max="6" width="9.42578125" customWidth="1"/>
  </cols>
  <sheetData>
    <row r="1" spans="1:36">
      <c r="A1" s="1" t="s">
        <v>0</v>
      </c>
      <c r="B1" s="1" t="s">
        <v>1</v>
      </c>
      <c r="C1" s="1" t="s">
        <v>2</v>
      </c>
      <c r="D1" s="1" t="s">
        <v>10</v>
      </c>
      <c r="E1" s="1" t="s">
        <v>7</v>
      </c>
      <c r="F1" s="1" t="s">
        <v>5</v>
      </c>
      <c r="G1" s="1" t="s">
        <v>3</v>
      </c>
      <c r="H1" s="1" t="s">
        <v>4</v>
      </c>
      <c r="N1" s="2"/>
      <c r="T1" s="2"/>
      <c r="Z1" s="2"/>
      <c r="AE1" s="3"/>
      <c r="AF1" s="2"/>
    </row>
    <row r="2" spans="1:36">
      <c r="A2">
        <v>4</v>
      </c>
      <c r="B2">
        <v>100</v>
      </c>
      <c r="C2">
        <v>1</v>
      </c>
      <c r="D2">
        <f>IF(F2&lt;9999,1,0)</f>
        <v>1</v>
      </c>
      <c r="E2">
        <f>IF(G2&lt;1,1,0)</f>
        <v>1</v>
      </c>
      <c r="F2" s="9">
        <v>108.76</v>
      </c>
      <c r="G2" s="9">
        <v>0.583005</v>
      </c>
      <c r="H2" s="9">
        <v>6.5318000000000001E-2</v>
      </c>
      <c r="M2" s="2"/>
      <c r="S2" s="2"/>
      <c r="Y2" s="2"/>
      <c r="AD2" s="3"/>
      <c r="AE2" s="2"/>
    </row>
    <row r="3" spans="1:36">
      <c r="A3">
        <v>4</v>
      </c>
      <c r="B3">
        <v>100</v>
      </c>
      <c r="C3">
        <v>2</v>
      </c>
      <c r="D3">
        <f>IF(F3&lt;9999,1,0)</f>
        <v>1</v>
      </c>
      <c r="E3">
        <f t="shared" ref="E3:E6" si="0">IF(G3&lt;1,1,0)</f>
        <v>1</v>
      </c>
      <c r="F3" s="9">
        <v>156.18100000000001</v>
      </c>
      <c r="G3" s="9">
        <v>0.97660999999999998</v>
      </c>
      <c r="H3" s="9">
        <v>0.49349700000000002</v>
      </c>
      <c r="L3" s="2"/>
      <c r="R3" s="2"/>
      <c r="X3" s="2"/>
      <c r="AC3" s="3"/>
      <c r="AD3" s="2"/>
    </row>
    <row r="4" spans="1:36">
      <c r="A4">
        <v>4</v>
      </c>
      <c r="B4">
        <v>100</v>
      </c>
      <c r="C4">
        <v>3</v>
      </c>
      <c r="D4">
        <f>IF(F4&lt;9999,1,0)</f>
        <v>1</v>
      </c>
      <c r="E4">
        <f t="shared" si="0"/>
        <v>1</v>
      </c>
      <c r="F4" s="9">
        <v>232.44200000000001</v>
      </c>
      <c r="G4" s="9">
        <v>0.99603200000000003</v>
      </c>
      <c r="H4" s="9">
        <v>7.9557500000000001</v>
      </c>
      <c r="K4" s="2"/>
      <c r="Q4" s="2"/>
      <c r="W4" s="2"/>
      <c r="AB4" s="3"/>
      <c r="AC4" s="2"/>
      <c r="AI4" s="2"/>
    </row>
    <row r="5" spans="1:36">
      <c r="A5">
        <v>4</v>
      </c>
      <c r="B5">
        <v>100</v>
      </c>
      <c r="C5">
        <v>4</v>
      </c>
      <c r="D5">
        <f>IF(F5&lt;9999,1,0)</f>
        <v>1</v>
      </c>
      <c r="E5">
        <f t="shared" si="0"/>
        <v>1</v>
      </c>
      <c r="F5" s="9">
        <v>326.66300000000001</v>
      </c>
      <c r="G5" s="9">
        <v>0.98625700000000005</v>
      </c>
      <c r="H5" s="9">
        <v>13.010300000000001</v>
      </c>
      <c r="I5" s="2"/>
      <c r="J5" s="2"/>
      <c r="P5" s="2"/>
      <c r="V5" s="2"/>
      <c r="AA5" s="3"/>
      <c r="AB5" s="2"/>
      <c r="AH5" s="2"/>
      <c r="AJ5" s="2"/>
    </row>
    <row r="6" spans="1:36">
      <c r="A6">
        <v>4</v>
      </c>
      <c r="B6">
        <v>100</v>
      </c>
      <c r="C6">
        <v>5</v>
      </c>
      <c r="D6">
        <f>IF(F6&lt;9999,1,0)</f>
        <v>1</v>
      </c>
      <c r="E6">
        <f t="shared" si="0"/>
        <v>1</v>
      </c>
      <c r="F6" s="9">
        <v>246.24100000000001</v>
      </c>
      <c r="G6" s="9">
        <v>0.56775200000000003</v>
      </c>
      <c r="H6" s="9">
        <v>5.7181000000000003E-2</v>
      </c>
    </row>
    <row r="7" spans="1:36" s="2" customFormat="1">
      <c r="A7" s="14" t="s">
        <v>6</v>
      </c>
      <c r="B7" s="14"/>
      <c r="C7" s="14"/>
      <c r="D7" s="8">
        <f>SUM(D2:D6)</f>
        <v>5</v>
      </c>
      <c r="E7" s="4">
        <f>SUM(E2:E6)</f>
        <v>5</v>
      </c>
      <c r="F7" s="10">
        <f>($D2*F2+$D3*F3+$D4*F4+$D5*F5+$D6*F6)/$D7</f>
        <v>214.0574</v>
      </c>
      <c r="G7" s="10">
        <f>($D2*G2+$D3*G3+$D4*G4+$D5*G5+$D6*G6)/$D7</f>
        <v>0.82193120000000008</v>
      </c>
      <c r="H7" s="10">
        <f>AVERAGE(H2:H6)</f>
        <v>4.3164092000000007</v>
      </c>
      <c r="I7"/>
      <c r="J7"/>
      <c r="K7"/>
      <c r="L7"/>
      <c r="M7"/>
      <c r="O7"/>
      <c r="P7"/>
      <c r="Q7"/>
      <c r="R7"/>
      <c r="S7"/>
      <c r="U7"/>
      <c r="V7"/>
      <c r="W7"/>
      <c r="X7"/>
      <c r="Y7" s="3"/>
      <c r="AA7"/>
      <c r="AB7"/>
      <c r="AC7"/>
      <c r="AD7"/>
      <c r="AE7"/>
      <c r="AG7"/>
      <c r="AH7"/>
      <c r="AI7"/>
    </row>
    <row r="8" spans="1:36">
      <c r="A8">
        <v>4</v>
      </c>
      <c r="B8">
        <v>200</v>
      </c>
      <c r="C8">
        <v>1</v>
      </c>
      <c r="D8">
        <f>IF(F8&lt;9999,1,0)</f>
        <v>1</v>
      </c>
      <c r="E8">
        <f>IF(G8&lt;1,1,0)</f>
        <v>1</v>
      </c>
      <c r="F8" s="9">
        <v>214.584</v>
      </c>
      <c r="G8" s="9">
        <v>0.430724</v>
      </c>
      <c r="H8" s="9">
        <v>0.54082300000000005</v>
      </c>
      <c r="M8" s="2"/>
      <c r="S8" s="2"/>
      <c r="X8" s="3"/>
      <c r="Y8" s="2"/>
      <c r="AE8" s="2"/>
    </row>
    <row r="9" spans="1:36">
      <c r="A9">
        <v>4</v>
      </c>
      <c r="B9">
        <v>200</v>
      </c>
      <c r="C9">
        <v>2</v>
      </c>
      <c r="D9">
        <f>IF(F9&lt;9999,1,0)</f>
        <v>1</v>
      </c>
      <c r="E9">
        <f t="shared" ref="E9:E12" si="1">IF(G9&lt;1,1,0)</f>
        <v>1</v>
      </c>
      <c r="F9" s="9">
        <v>184.50200000000001</v>
      </c>
      <c r="G9" s="9">
        <v>0.97245700000000002</v>
      </c>
      <c r="H9" s="9">
        <v>1.2514099999999999</v>
      </c>
      <c r="L9" s="2"/>
      <c r="R9" s="2"/>
      <c r="W9" s="3"/>
      <c r="X9" s="2"/>
      <c r="AD9" s="2"/>
    </row>
    <row r="10" spans="1:36">
      <c r="A10">
        <v>4</v>
      </c>
      <c r="B10">
        <v>200</v>
      </c>
      <c r="C10">
        <v>3</v>
      </c>
      <c r="D10">
        <f>IF(F10&lt;9999,1,0)</f>
        <v>1</v>
      </c>
      <c r="E10">
        <f t="shared" si="1"/>
        <v>1</v>
      </c>
      <c r="F10" s="9">
        <v>198.53700000000001</v>
      </c>
      <c r="G10" s="9">
        <v>0.98655300000000001</v>
      </c>
      <c r="H10" s="9">
        <v>7.8877600000000001</v>
      </c>
      <c r="K10" s="2"/>
      <c r="Q10" s="2"/>
      <c r="V10" s="3"/>
      <c r="W10" s="2"/>
      <c r="AC10" s="2"/>
    </row>
    <row r="11" spans="1:36">
      <c r="A11">
        <v>4</v>
      </c>
      <c r="B11">
        <v>200</v>
      </c>
      <c r="C11">
        <v>4</v>
      </c>
      <c r="D11">
        <f>IF(F11&lt;9999,1,0)</f>
        <v>1</v>
      </c>
      <c r="E11">
        <f t="shared" si="1"/>
        <v>1</v>
      </c>
      <c r="F11" s="9">
        <v>281.74700000000001</v>
      </c>
      <c r="G11" s="9">
        <v>0.66505300000000001</v>
      </c>
      <c r="H11" s="9">
        <v>0.46509800000000001</v>
      </c>
      <c r="I11" s="2"/>
      <c r="J11" s="2"/>
      <c r="P11" s="2"/>
      <c r="U11" s="3"/>
      <c r="V11" s="2"/>
      <c r="AB11" s="2"/>
    </row>
    <row r="12" spans="1:36">
      <c r="A12">
        <v>4</v>
      </c>
      <c r="B12">
        <v>200</v>
      </c>
      <c r="C12">
        <v>5</v>
      </c>
      <c r="D12">
        <f>IF(F12&lt;9999,1,0)</f>
        <v>1</v>
      </c>
      <c r="E12">
        <f t="shared" si="1"/>
        <v>1</v>
      </c>
      <c r="F12" s="9">
        <v>112.404</v>
      </c>
      <c r="G12" s="9">
        <v>0</v>
      </c>
      <c r="H12" s="9">
        <v>0.10727</v>
      </c>
      <c r="O12" s="2"/>
      <c r="U12" s="2"/>
      <c r="AA12" s="2"/>
    </row>
    <row r="13" spans="1:36" s="2" customFormat="1">
      <c r="A13" s="14" t="s">
        <v>6</v>
      </c>
      <c r="B13" s="14"/>
      <c r="C13" s="14"/>
      <c r="D13" s="8">
        <f>SUM(D8:D12)</f>
        <v>5</v>
      </c>
      <c r="E13" s="4">
        <f>SUM(E8:E12)</f>
        <v>5</v>
      </c>
      <c r="F13" s="10">
        <f>($D8*F8+$D9*F9+$D10*F10+$D11*F11+$D12*F12)/$D13</f>
        <v>198.35480000000001</v>
      </c>
      <c r="G13" s="10">
        <f>($D8*G8+$D9*G9+$D10*G10+$D11*G11+$D12*G12)/$D13</f>
        <v>0.61095739999999998</v>
      </c>
      <c r="H13" s="10">
        <f>AVERAGE(H8:H12)</f>
        <v>2.0504721999999997</v>
      </c>
      <c r="I13"/>
      <c r="J13"/>
      <c r="K13"/>
      <c r="L13"/>
      <c r="M13"/>
      <c r="O13"/>
      <c r="P13"/>
      <c r="Q13"/>
      <c r="R13"/>
      <c r="S13" s="3"/>
      <c r="U13"/>
      <c r="V13"/>
      <c r="W13"/>
      <c r="X13"/>
      <c r="Y13"/>
      <c r="AA13"/>
      <c r="AB13"/>
      <c r="AC13"/>
      <c r="AD13"/>
      <c r="AE13"/>
      <c r="AF13"/>
      <c r="AG13"/>
      <c r="AH13"/>
      <c r="AI13"/>
    </row>
    <row r="14" spans="1:36">
      <c r="A14">
        <v>4</v>
      </c>
      <c r="B14">
        <v>300</v>
      </c>
      <c r="C14">
        <v>1</v>
      </c>
      <c r="D14">
        <f>IF(F14&lt;9999,1,0)</f>
        <v>1</v>
      </c>
      <c r="E14">
        <f>IF(G14&lt;1,1,0)</f>
        <v>1</v>
      </c>
      <c r="F14" s="9">
        <v>154.148</v>
      </c>
      <c r="G14" s="9">
        <v>0.96959899999999999</v>
      </c>
      <c r="H14" s="9">
        <v>0.25495699999999999</v>
      </c>
      <c r="M14" s="2"/>
      <c r="R14" s="3"/>
      <c r="S14" s="2"/>
      <c r="Y14" s="2"/>
    </row>
    <row r="15" spans="1:36">
      <c r="A15">
        <v>4</v>
      </c>
      <c r="B15">
        <v>300</v>
      </c>
      <c r="C15">
        <v>2</v>
      </c>
      <c r="D15">
        <f>IF(F15&lt;9999,1,0)</f>
        <v>1</v>
      </c>
      <c r="E15">
        <f t="shared" ref="E15:E18" si="2">IF(G15&lt;1,1,0)</f>
        <v>1</v>
      </c>
      <c r="F15" s="9">
        <v>176.684</v>
      </c>
      <c r="G15" s="9">
        <v>0.84498600000000001</v>
      </c>
      <c r="H15" s="9">
        <v>0.17808299999999999</v>
      </c>
      <c r="L15" s="2"/>
      <c r="Q15" s="3"/>
      <c r="R15" s="2"/>
      <c r="X15" s="2"/>
    </row>
    <row r="16" spans="1:36">
      <c r="A16">
        <v>4</v>
      </c>
      <c r="B16">
        <v>300</v>
      </c>
      <c r="C16">
        <v>3</v>
      </c>
      <c r="D16">
        <f>IF(F16&lt;9999,1,0)</f>
        <v>1</v>
      </c>
      <c r="E16">
        <f t="shared" si="2"/>
        <v>1</v>
      </c>
      <c r="F16" s="9">
        <v>201.98500000000001</v>
      </c>
      <c r="G16" s="9">
        <v>2.9700000000000001E-2</v>
      </c>
      <c r="H16" s="9">
        <v>2.7195299999999998</v>
      </c>
      <c r="K16" s="2"/>
      <c r="P16" s="3"/>
      <c r="Q16" s="2"/>
      <c r="W16" s="2"/>
    </row>
    <row r="17" spans="1:36">
      <c r="A17">
        <v>4</v>
      </c>
      <c r="B17">
        <v>300</v>
      </c>
      <c r="C17">
        <v>4</v>
      </c>
      <c r="D17">
        <f>IF(F17&lt;9999,1,0)</f>
        <v>1</v>
      </c>
      <c r="E17">
        <f t="shared" si="2"/>
        <v>1</v>
      </c>
      <c r="F17" s="9">
        <v>144.684</v>
      </c>
      <c r="G17" s="9">
        <v>0.41874699999999998</v>
      </c>
      <c r="H17" s="9">
        <v>0.21151700000000001</v>
      </c>
      <c r="I17" s="2"/>
      <c r="J17" s="2"/>
      <c r="O17" s="3"/>
      <c r="P17" s="2"/>
      <c r="V17" s="2"/>
    </row>
    <row r="18" spans="1:36">
      <c r="A18">
        <v>4</v>
      </c>
      <c r="B18">
        <v>300</v>
      </c>
      <c r="C18">
        <v>5</v>
      </c>
      <c r="D18">
        <f>IF(F18&lt;9999,1,0)</f>
        <v>1</v>
      </c>
      <c r="E18">
        <f t="shared" si="2"/>
        <v>1</v>
      </c>
      <c r="F18" s="9">
        <v>148.77699999999999</v>
      </c>
      <c r="G18" s="9">
        <v>0.99680599999999997</v>
      </c>
      <c r="H18" s="9">
        <v>249.24799999999999</v>
      </c>
      <c r="O18" s="2"/>
      <c r="U18" s="2"/>
    </row>
    <row r="19" spans="1:36" s="2" customFormat="1">
      <c r="A19" s="14" t="s">
        <v>6</v>
      </c>
      <c r="B19" s="14"/>
      <c r="C19" s="14"/>
      <c r="D19" s="8">
        <f>SUM(D14:D18)</f>
        <v>5</v>
      </c>
      <c r="E19" s="4">
        <f>SUM(E14:E18)</f>
        <v>5</v>
      </c>
      <c r="F19" s="10">
        <f>($D14*F14+$D15*F15+$D16*F16+$D17*F17+$D18*F18)/$D19</f>
        <v>165.25560000000002</v>
      </c>
      <c r="G19" s="10">
        <f>($D14*G14+$D15*G15+$D16*G16+$D17*G17+$D18*G18)/$D19</f>
        <v>0.65196759999999998</v>
      </c>
      <c r="H19" s="10">
        <f>AVERAGE(H14:H18)</f>
        <v>50.522417400000002</v>
      </c>
      <c r="I19"/>
      <c r="J19"/>
      <c r="K19"/>
      <c r="L19"/>
      <c r="M19" s="3"/>
      <c r="O19"/>
      <c r="P19"/>
      <c r="Q19"/>
      <c r="R19"/>
      <c r="S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</row>
    <row r="20" spans="1:36">
      <c r="A20">
        <v>4</v>
      </c>
      <c r="B20">
        <v>400</v>
      </c>
      <c r="C20">
        <v>1</v>
      </c>
      <c r="D20">
        <f>IF(F20&lt;9999,1,0)</f>
        <v>1</v>
      </c>
      <c r="E20">
        <f>IF(G20&lt;1,1,0)</f>
        <v>1</v>
      </c>
      <c r="F20" s="9">
        <v>120.199</v>
      </c>
      <c r="G20" s="9">
        <v>0.178956</v>
      </c>
      <c r="H20" s="9">
        <v>0.109079</v>
      </c>
      <c r="L20" s="3"/>
      <c r="M20" s="2"/>
      <c r="S20" s="2"/>
    </row>
    <row r="21" spans="1:36">
      <c r="A21">
        <v>4</v>
      </c>
      <c r="B21">
        <v>400</v>
      </c>
      <c r="C21">
        <v>2</v>
      </c>
      <c r="D21">
        <f>IF(F21&lt;9999,1,0)</f>
        <v>1</v>
      </c>
      <c r="E21">
        <f t="shared" ref="E21:E24" si="3">IF(G21&lt;1,1,0)</f>
        <v>1</v>
      </c>
      <c r="F21" s="9">
        <v>440.07799999999997</v>
      </c>
      <c r="G21" s="9">
        <v>0.387237</v>
      </c>
      <c r="H21" s="9">
        <v>0.67067399999999999</v>
      </c>
      <c r="K21" s="3"/>
      <c r="L21" s="2"/>
      <c r="R21" s="2"/>
    </row>
    <row r="22" spans="1:36">
      <c r="A22">
        <v>4</v>
      </c>
      <c r="B22">
        <v>400</v>
      </c>
      <c r="C22">
        <v>3</v>
      </c>
      <c r="D22">
        <f>IF(F22&lt;9999,1,0)</f>
        <v>1</v>
      </c>
      <c r="E22">
        <f t="shared" si="3"/>
        <v>1</v>
      </c>
      <c r="F22" s="9">
        <v>259.26100000000002</v>
      </c>
      <c r="G22" s="9">
        <v>0.53712599999999999</v>
      </c>
      <c r="H22" s="9">
        <v>0.16691800000000001</v>
      </c>
      <c r="I22" s="3"/>
      <c r="J22" s="3"/>
      <c r="K22" s="2"/>
      <c r="Q22" s="2"/>
    </row>
    <row r="23" spans="1:36">
      <c r="A23">
        <v>4</v>
      </c>
      <c r="B23">
        <v>400</v>
      </c>
      <c r="C23">
        <v>4</v>
      </c>
      <c r="D23">
        <f>IF(F23&lt;9999,1,0)</f>
        <v>1</v>
      </c>
      <c r="E23">
        <f t="shared" si="3"/>
        <v>1</v>
      </c>
      <c r="F23" s="9">
        <v>167.00899999999999</v>
      </c>
      <c r="G23" s="9">
        <v>0.65177600000000002</v>
      </c>
      <c r="H23" s="9">
        <v>0.76423700000000006</v>
      </c>
      <c r="I23" s="2"/>
      <c r="J23" s="2"/>
      <c r="P23" s="2"/>
    </row>
    <row r="24" spans="1:36" s="3" customFormat="1">
      <c r="A24">
        <v>4</v>
      </c>
      <c r="B24" s="3">
        <v>400</v>
      </c>
      <c r="C24" s="3">
        <v>5</v>
      </c>
      <c r="D24">
        <f>IF(F24&lt;9999,1,0)</f>
        <v>1</v>
      </c>
      <c r="E24">
        <f t="shared" si="3"/>
        <v>1</v>
      </c>
      <c r="F24" s="9">
        <v>146.499</v>
      </c>
      <c r="G24" s="9">
        <v>0.929836</v>
      </c>
      <c r="H24" s="9">
        <v>22.551300000000001</v>
      </c>
      <c r="I24"/>
      <c r="J24"/>
      <c r="K24"/>
      <c r="L24"/>
      <c r="M24"/>
      <c r="N24"/>
      <c r="O24" s="2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</row>
    <row r="25" spans="1:36" s="2" customFormat="1">
      <c r="A25" s="14" t="s">
        <v>6</v>
      </c>
      <c r="B25" s="14"/>
      <c r="C25" s="14"/>
      <c r="D25" s="8">
        <f>SUM(D20:D24)</f>
        <v>5</v>
      </c>
      <c r="E25" s="4">
        <f>SUM(E20:E24)</f>
        <v>5</v>
      </c>
      <c r="F25" s="10">
        <f>($D20*F20+$D21*F21+$D22*F22+$D23*F23+$D24*F24)/$D25</f>
        <v>226.60920000000002</v>
      </c>
      <c r="G25" s="10">
        <f>($D20*G20+$D21*G21+$D22*G22+$D23*G23+$D24*G24)/$D25</f>
        <v>0.53698619999999997</v>
      </c>
      <c r="H25" s="10">
        <f>AVERAGE(H20:H24)</f>
        <v>4.8524416000000006</v>
      </c>
      <c r="I25"/>
      <c r="J25"/>
      <c r="K25"/>
      <c r="L25"/>
      <c r="M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</row>
    <row r="26" spans="1:36">
      <c r="A26">
        <v>4</v>
      </c>
      <c r="B26">
        <v>500</v>
      </c>
      <c r="C26">
        <v>1</v>
      </c>
      <c r="D26">
        <f>IF(F26&lt;9999,1,0)</f>
        <v>1</v>
      </c>
      <c r="E26">
        <f>IF(G26&lt;1,1,0)</f>
        <v>1</v>
      </c>
      <c r="F26" s="9">
        <v>370.64</v>
      </c>
      <c r="G26" s="9">
        <v>0.57358500000000001</v>
      </c>
      <c r="H26" s="9">
        <v>2.6066400000000001</v>
      </c>
      <c r="M26" s="2"/>
    </row>
    <row r="27" spans="1:36">
      <c r="A27">
        <v>4</v>
      </c>
      <c r="B27">
        <v>500</v>
      </c>
      <c r="C27">
        <v>2</v>
      </c>
      <c r="D27">
        <f>IF(F27&lt;9999,1,0)</f>
        <v>1</v>
      </c>
      <c r="E27">
        <f t="shared" ref="E27:E30" si="4">IF(G27&lt;1,1,0)</f>
        <v>1</v>
      </c>
      <c r="F27" s="9">
        <v>249.07300000000001</v>
      </c>
      <c r="G27" s="9">
        <v>0.380413</v>
      </c>
      <c r="H27" s="9">
        <v>0.54965699999999995</v>
      </c>
      <c r="L27" s="2"/>
    </row>
    <row r="28" spans="1:36">
      <c r="A28">
        <v>4</v>
      </c>
      <c r="B28">
        <v>500</v>
      </c>
      <c r="C28">
        <v>3</v>
      </c>
      <c r="D28">
        <f>IF(F28&lt;9999,1,0)</f>
        <v>1</v>
      </c>
      <c r="E28">
        <f t="shared" si="4"/>
        <v>1</v>
      </c>
      <c r="F28" s="9">
        <v>155.41399999999999</v>
      </c>
      <c r="G28" s="9">
        <v>0.36916700000000002</v>
      </c>
      <c r="H28" s="9">
        <v>0.34999000000000002</v>
      </c>
      <c r="K28" s="2"/>
    </row>
    <row r="29" spans="1:36">
      <c r="A29">
        <v>4</v>
      </c>
      <c r="B29">
        <v>500</v>
      </c>
      <c r="C29">
        <v>4</v>
      </c>
      <c r="D29">
        <f>IF(F29&lt;9999,1,0)</f>
        <v>1</v>
      </c>
      <c r="E29">
        <f t="shared" si="4"/>
        <v>1</v>
      </c>
      <c r="F29" s="9">
        <v>214.77</v>
      </c>
      <c r="G29" s="9">
        <v>0.85602699999999998</v>
      </c>
      <c r="H29" s="9">
        <v>1.1333899999999999</v>
      </c>
      <c r="I29" s="2"/>
      <c r="J29" s="2"/>
    </row>
    <row r="30" spans="1:36">
      <c r="A30">
        <v>4</v>
      </c>
      <c r="B30">
        <v>500</v>
      </c>
      <c r="C30">
        <v>5</v>
      </c>
      <c r="D30">
        <f>IF(F30&lt;9999,1,0)</f>
        <v>1</v>
      </c>
      <c r="E30">
        <f t="shared" si="4"/>
        <v>1</v>
      </c>
      <c r="F30" s="9">
        <v>186.84399999999999</v>
      </c>
      <c r="G30" s="9">
        <v>0.38157999999999997</v>
      </c>
      <c r="H30" s="9">
        <v>0.96393300000000004</v>
      </c>
    </row>
    <row r="31" spans="1:36" s="2" customFormat="1">
      <c r="A31" s="14" t="s">
        <v>6</v>
      </c>
      <c r="B31" s="14"/>
      <c r="C31" s="14"/>
      <c r="D31" s="8">
        <f>SUM(D26:D30)</f>
        <v>5</v>
      </c>
      <c r="E31" s="4">
        <f>SUM(E26:E30)</f>
        <v>5</v>
      </c>
      <c r="F31" s="10">
        <f>($D26*F26+$D27*F27+$D28*F28+$D29*F29+$D30*F30)/$D31</f>
        <v>235.34819999999999</v>
      </c>
      <c r="G31" s="10">
        <f>($D26*G26+$D27*G27+$D28*G28+$D29*G29+$D30*G30)/$D31</f>
        <v>0.51215440000000001</v>
      </c>
      <c r="H31" s="10">
        <f>AVERAGE(H26:H30)</f>
        <v>1.120722</v>
      </c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</row>
    <row r="33" spans="1:8">
      <c r="A33" s="13" t="s">
        <v>8</v>
      </c>
      <c r="B33" s="13"/>
      <c r="C33" s="13"/>
      <c r="D33" s="2">
        <f>SUM(D7,D13,D19,D25,D31)</f>
        <v>25</v>
      </c>
      <c r="E33" s="2">
        <f>SUM(E7,E13,E19,E25,E31)</f>
        <v>25</v>
      </c>
      <c r="F33" s="11">
        <f>(F7*$D7+F13*$D13+F19*$D19+F25*$D25+F31*$D31)/($D7+$D13+$D19+$D25+$D31)</f>
        <v>207.92504</v>
      </c>
      <c r="G33" s="11">
        <f>(G7*$D7+G13*$D13+G19*$D19+G25*$D25+G31*$D31)/($D7+$D13+$D19+$D25+$D31)</f>
        <v>0.62679936000000003</v>
      </c>
      <c r="H33" s="11">
        <f>AVERAGE(H7,H13,H19,H25,H31)</f>
        <v>12.572492480000001</v>
      </c>
    </row>
    <row r="55" spans="9:9">
      <c r="I55">
        <v>224.524</v>
      </c>
    </row>
  </sheetData>
  <mergeCells count="6">
    <mergeCell ref="A33:C33"/>
    <mergeCell ref="A7:C7"/>
    <mergeCell ref="A13:C13"/>
    <mergeCell ref="A19:C19"/>
    <mergeCell ref="A25:C25"/>
    <mergeCell ref="A31:C31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B3CD6-AFB7-4163-8FF8-B16393B13EB3}">
  <dimension ref="A1:AI55"/>
  <sheetViews>
    <sheetView workbookViewId="0">
      <selection activeCell="F1" sqref="F1:F1048576"/>
    </sheetView>
  </sheetViews>
  <sheetFormatPr defaultRowHeight="15"/>
  <cols>
    <col min="6" max="6" width="9.42578125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10</v>
      </c>
      <c r="E1" s="1" t="s">
        <v>7</v>
      </c>
      <c r="F1" s="1" t="s">
        <v>5</v>
      </c>
      <c r="G1" s="1" t="s">
        <v>3</v>
      </c>
      <c r="H1" s="1" t="s">
        <v>4</v>
      </c>
      <c r="N1" s="2"/>
      <c r="T1" s="2"/>
      <c r="Z1" s="2"/>
      <c r="AE1" s="3"/>
      <c r="AF1" s="2"/>
    </row>
    <row r="2" spans="1:35">
      <c r="A2">
        <v>6</v>
      </c>
      <c r="B2">
        <v>100</v>
      </c>
      <c r="C2">
        <v>1</v>
      </c>
      <c r="D2">
        <f>IF(F2&lt;9999,1,0)</f>
        <v>1</v>
      </c>
      <c r="E2">
        <f>IF(G2&lt;1,1,0)</f>
        <v>0</v>
      </c>
      <c r="F2" s="9">
        <v>369.45</v>
      </c>
      <c r="G2" s="9">
        <v>3.6426099999999999</v>
      </c>
      <c r="H2" s="9">
        <v>1800</v>
      </c>
      <c r="M2" s="2"/>
      <c r="S2" s="2"/>
      <c r="Y2" s="2"/>
      <c r="AD2" s="3"/>
      <c r="AE2" s="2"/>
    </row>
    <row r="3" spans="1:35">
      <c r="A3">
        <v>6</v>
      </c>
      <c r="B3">
        <v>100</v>
      </c>
      <c r="C3">
        <v>2</v>
      </c>
      <c r="D3">
        <f>IF(F3&lt;9999,1,0)</f>
        <v>1</v>
      </c>
      <c r="E3">
        <f t="shared" ref="E3:E6" si="0">IF(G3&lt;1,1,0)</f>
        <v>1</v>
      </c>
      <c r="F3" s="9">
        <v>283.24</v>
      </c>
      <c r="G3" s="9">
        <v>0.5383</v>
      </c>
      <c r="H3" s="9">
        <v>1.3106</v>
      </c>
      <c r="L3" s="2"/>
      <c r="R3" s="2"/>
      <c r="X3" s="2"/>
      <c r="AC3" s="3"/>
      <c r="AD3" s="2"/>
    </row>
    <row r="4" spans="1:35">
      <c r="A4">
        <v>6</v>
      </c>
      <c r="B4">
        <v>100</v>
      </c>
      <c r="C4">
        <v>3</v>
      </c>
      <c r="D4">
        <f>IF(F4&lt;9999,1,0)</f>
        <v>1</v>
      </c>
      <c r="E4">
        <f t="shared" si="0"/>
        <v>1</v>
      </c>
      <c r="F4" s="9">
        <v>482.24599999999998</v>
      </c>
      <c r="G4" s="9">
        <v>0.99957799999999997</v>
      </c>
      <c r="H4" s="9">
        <v>41.2789</v>
      </c>
      <c r="K4" s="2"/>
      <c r="Q4" s="2"/>
      <c r="W4" s="2"/>
      <c r="AB4" s="3"/>
      <c r="AC4" s="2"/>
      <c r="AI4" s="2"/>
    </row>
    <row r="5" spans="1:35">
      <c r="A5">
        <v>6</v>
      </c>
      <c r="B5">
        <v>100</v>
      </c>
      <c r="C5">
        <v>4</v>
      </c>
      <c r="D5">
        <f>IF(F5&lt;9999,1,0)</f>
        <v>1</v>
      </c>
      <c r="E5">
        <f t="shared" si="0"/>
        <v>1</v>
      </c>
      <c r="F5" s="9">
        <v>267.62400000000002</v>
      </c>
      <c r="G5" s="9">
        <v>0.68686400000000003</v>
      </c>
      <c r="H5" s="9">
        <v>0.45399</v>
      </c>
      <c r="I5" s="2"/>
      <c r="J5" s="2"/>
      <c r="P5" s="2"/>
      <c r="V5" s="2"/>
      <c r="AA5" s="3"/>
      <c r="AB5" s="2"/>
      <c r="AH5" s="2"/>
    </row>
    <row r="6" spans="1:35">
      <c r="A6">
        <v>6</v>
      </c>
      <c r="B6">
        <v>100</v>
      </c>
      <c r="C6">
        <v>5</v>
      </c>
      <c r="D6">
        <f>IF(F6&lt;9999,1,0)</f>
        <v>1</v>
      </c>
      <c r="E6">
        <f t="shared" si="0"/>
        <v>0</v>
      </c>
      <c r="F6" s="9">
        <v>431.10399999999998</v>
      </c>
      <c r="G6" s="9">
        <v>5.6394700000000002</v>
      </c>
      <c r="H6" s="9">
        <v>1800.08</v>
      </c>
    </row>
    <row r="7" spans="1:35">
      <c r="A7" s="14" t="s">
        <v>6</v>
      </c>
      <c r="B7" s="14"/>
      <c r="C7" s="14"/>
      <c r="D7" s="8">
        <f>SUM(D2:D6)</f>
        <v>5</v>
      </c>
      <c r="E7" s="4">
        <f>SUM(E2:E6)</f>
        <v>3</v>
      </c>
      <c r="F7" s="10">
        <f>($D2*F2+$D3*F3+$D4*F4+$D5*F5+$D6*F6)/$D7</f>
        <v>366.73280000000005</v>
      </c>
      <c r="G7" s="10">
        <f>($D2*G2+$D3*G3+$D4*G4+$D5*G5+$D6*G6)/$D7</f>
        <v>2.3013643999999998</v>
      </c>
      <c r="H7" s="10">
        <f>AVERAGE(H2:H6)</f>
        <v>728.62469799999997</v>
      </c>
      <c r="N7" s="2"/>
      <c r="T7" s="2"/>
      <c r="Y7" s="3"/>
      <c r="Z7" s="2"/>
      <c r="AF7" s="2"/>
    </row>
    <row r="8" spans="1:35">
      <c r="A8">
        <v>6</v>
      </c>
      <c r="B8">
        <v>200</v>
      </c>
      <c r="C8">
        <v>1</v>
      </c>
      <c r="D8">
        <f>IF(F8&lt;9999,1,0)</f>
        <v>1</v>
      </c>
      <c r="E8">
        <f>IF(G8&lt;1,1,0)</f>
        <v>1</v>
      </c>
      <c r="F8" s="9">
        <v>553.51199999999994</v>
      </c>
      <c r="G8" s="9">
        <v>0.43694899999999998</v>
      </c>
      <c r="H8" s="9">
        <v>4.8274600000000003</v>
      </c>
      <c r="M8" s="2"/>
      <c r="S8" s="2"/>
      <c r="X8" s="3"/>
      <c r="Y8" s="2"/>
      <c r="AE8" s="2"/>
    </row>
    <row r="9" spans="1:35">
      <c r="A9">
        <v>6</v>
      </c>
      <c r="B9">
        <v>200</v>
      </c>
      <c r="C9">
        <v>2</v>
      </c>
      <c r="D9">
        <f>IF(F9&lt;9999,1,0)</f>
        <v>1</v>
      </c>
      <c r="E9">
        <f t="shared" ref="E9:E12" si="1">IF(G9&lt;1,1,0)</f>
        <v>1</v>
      </c>
      <c r="F9" s="9">
        <v>394.98500000000001</v>
      </c>
      <c r="G9" s="9">
        <v>0.57112300000000005</v>
      </c>
      <c r="H9" s="9">
        <v>1.25482</v>
      </c>
      <c r="L9" s="2"/>
      <c r="R9" s="2"/>
      <c r="W9" s="3"/>
      <c r="X9" s="2"/>
      <c r="AD9" s="2"/>
    </row>
    <row r="10" spans="1:35">
      <c r="A10">
        <v>6</v>
      </c>
      <c r="B10">
        <v>200</v>
      </c>
      <c r="C10">
        <v>3</v>
      </c>
      <c r="D10">
        <f>IF(F10&lt;9999,1,0)</f>
        <v>1</v>
      </c>
      <c r="E10">
        <f t="shared" si="1"/>
        <v>0</v>
      </c>
      <c r="F10" s="9">
        <v>238.81800000000001</v>
      </c>
      <c r="G10" s="9">
        <v>1.22211</v>
      </c>
      <c r="H10" s="9">
        <v>1801.24</v>
      </c>
      <c r="K10" s="2"/>
      <c r="Q10" s="2"/>
      <c r="V10" s="3"/>
      <c r="W10" s="2"/>
      <c r="AC10" s="2"/>
    </row>
    <row r="11" spans="1:35">
      <c r="A11">
        <v>6</v>
      </c>
      <c r="B11">
        <v>200</v>
      </c>
      <c r="C11">
        <v>4</v>
      </c>
      <c r="D11">
        <f>IF(F11&lt;9999,1,0)</f>
        <v>1</v>
      </c>
      <c r="E11">
        <f t="shared" si="1"/>
        <v>0</v>
      </c>
      <c r="F11" s="9">
        <v>386.52300000000002</v>
      </c>
      <c r="G11" s="9">
        <v>100</v>
      </c>
      <c r="H11" s="9">
        <v>1800.14</v>
      </c>
      <c r="I11" s="2"/>
      <c r="J11" s="2"/>
      <c r="P11" s="2"/>
      <c r="U11" s="3"/>
      <c r="V11" s="2"/>
      <c r="AB11" s="2"/>
    </row>
    <row r="12" spans="1:35">
      <c r="A12">
        <v>6</v>
      </c>
      <c r="B12">
        <v>200</v>
      </c>
      <c r="C12">
        <v>5</v>
      </c>
      <c r="D12">
        <f>IF(F12&lt;9999,1,0)</f>
        <v>1</v>
      </c>
      <c r="E12">
        <f t="shared" si="1"/>
        <v>1</v>
      </c>
      <c r="F12" s="9">
        <v>232.084</v>
      </c>
      <c r="G12" s="9">
        <v>0.27481899999999998</v>
      </c>
      <c r="H12" s="9">
        <v>17.735700000000001</v>
      </c>
      <c r="O12" s="2"/>
      <c r="U12" s="2"/>
      <c r="AA12" s="2"/>
    </row>
    <row r="13" spans="1:35">
      <c r="A13" s="14" t="s">
        <v>6</v>
      </c>
      <c r="B13" s="14"/>
      <c r="C13" s="14"/>
      <c r="D13" s="8">
        <f>SUM(D8:D12)</f>
        <v>5</v>
      </c>
      <c r="E13" s="4">
        <f>SUM(E8:E12)</f>
        <v>3</v>
      </c>
      <c r="F13" s="10">
        <f>($D8*F8+$D9*F9+$D10*F10+$D11*F11+$D12*F12)/$D13</f>
        <v>361.18440000000004</v>
      </c>
      <c r="G13" s="10">
        <f>($D8*G8+$D9*G9+$D10*G10+$D11*G11+$D12*G12)/$D13</f>
        <v>20.5010002</v>
      </c>
      <c r="H13" s="10">
        <f>AVERAGE(H8:H12)</f>
        <v>725.03959600000007</v>
      </c>
      <c r="N13" s="2"/>
      <c r="S13" s="3"/>
      <c r="T13" s="2"/>
      <c r="Z13" s="2"/>
    </row>
    <row r="14" spans="1:35">
      <c r="A14">
        <v>6</v>
      </c>
      <c r="B14">
        <v>300</v>
      </c>
      <c r="C14">
        <v>1</v>
      </c>
      <c r="D14">
        <f>IF(F14&lt;9999,1,0)</f>
        <v>1</v>
      </c>
      <c r="E14">
        <f>IF(G14&lt;1,1,0)</f>
        <v>0</v>
      </c>
      <c r="F14" s="9">
        <v>386.87400000000002</v>
      </c>
      <c r="G14" s="9">
        <v>100</v>
      </c>
      <c r="H14" s="9">
        <v>1800.13</v>
      </c>
      <c r="M14" s="2"/>
      <c r="R14" s="3"/>
      <c r="S14" s="2"/>
      <c r="Y14" s="2"/>
    </row>
    <row r="15" spans="1:35">
      <c r="A15">
        <v>6</v>
      </c>
      <c r="B15">
        <v>300</v>
      </c>
      <c r="C15">
        <v>2</v>
      </c>
      <c r="D15">
        <f>IF(F15&lt;9999,1,0)</f>
        <v>1</v>
      </c>
      <c r="E15">
        <f t="shared" ref="E15:E18" si="2">IF(G15&lt;1,1,0)</f>
        <v>1</v>
      </c>
      <c r="F15" s="9">
        <v>258.46100000000001</v>
      </c>
      <c r="G15" s="9">
        <v>0.37927699999999998</v>
      </c>
      <c r="H15" s="9">
        <v>263.63</v>
      </c>
      <c r="L15" s="2"/>
      <c r="Q15" s="3"/>
      <c r="R15" s="2"/>
      <c r="X15" s="2"/>
    </row>
    <row r="16" spans="1:35">
      <c r="A16">
        <v>6</v>
      </c>
      <c r="B16">
        <v>300</v>
      </c>
      <c r="C16">
        <v>3</v>
      </c>
      <c r="D16">
        <f>IF(F16&lt;9999,1,0)</f>
        <v>1</v>
      </c>
      <c r="E16">
        <f t="shared" si="2"/>
        <v>1</v>
      </c>
      <c r="F16" s="9">
        <v>193.71799999999999</v>
      </c>
      <c r="G16" s="9">
        <v>0.27660000000000001</v>
      </c>
      <c r="H16" s="9">
        <v>2.17875</v>
      </c>
      <c r="K16" s="2"/>
      <c r="P16" s="3"/>
      <c r="Q16" s="2"/>
      <c r="W16" s="2"/>
    </row>
    <row r="17" spans="1:22">
      <c r="A17">
        <v>6</v>
      </c>
      <c r="B17">
        <v>300</v>
      </c>
      <c r="C17">
        <v>4</v>
      </c>
      <c r="D17">
        <f>IF(F17&lt;9999,1,0)</f>
        <v>1</v>
      </c>
      <c r="E17">
        <f t="shared" si="2"/>
        <v>0</v>
      </c>
      <c r="F17" s="9">
        <v>325.68799999999999</v>
      </c>
      <c r="G17" s="9">
        <v>100</v>
      </c>
      <c r="H17" s="9">
        <v>1800.2</v>
      </c>
      <c r="I17" s="2"/>
      <c r="J17" s="2"/>
      <c r="O17" s="3"/>
      <c r="P17" s="2"/>
      <c r="V17" s="2"/>
    </row>
    <row r="18" spans="1:22">
      <c r="A18">
        <v>6</v>
      </c>
      <c r="B18">
        <v>300</v>
      </c>
      <c r="C18">
        <v>5</v>
      </c>
      <c r="D18">
        <f>IF(F18&lt;9999,1,0)</f>
        <v>1</v>
      </c>
      <c r="E18">
        <f t="shared" si="2"/>
        <v>1</v>
      </c>
      <c r="F18" s="9">
        <v>367.51600000000002</v>
      </c>
      <c r="G18" s="9">
        <v>0.99772499999999997</v>
      </c>
      <c r="H18" s="9">
        <v>228.49</v>
      </c>
      <c r="O18" s="2"/>
      <c r="U18" s="2"/>
    </row>
    <row r="19" spans="1:22">
      <c r="A19" s="14" t="s">
        <v>6</v>
      </c>
      <c r="B19" s="14"/>
      <c r="C19" s="14"/>
      <c r="D19" s="8">
        <f>SUM(D14:D18)</f>
        <v>5</v>
      </c>
      <c r="E19" s="4">
        <f>SUM(E14:E18)</f>
        <v>3</v>
      </c>
      <c r="F19" s="10">
        <f>($D14*F14+$D15*F15+$D16*F16+$D17*F17+$D18*F18)/$D19</f>
        <v>306.45140000000004</v>
      </c>
      <c r="G19" s="10">
        <f>($D14*G14+$D15*G15+$D16*G16+$D17*G17+$D18*G18)/$D19</f>
        <v>40.330720400000004</v>
      </c>
      <c r="H19" s="10">
        <f>AVERAGE(H14:H18)</f>
        <v>818.92574999999999</v>
      </c>
      <c r="M19" s="3"/>
      <c r="N19" s="2"/>
      <c r="T19" s="2"/>
    </row>
    <row r="20" spans="1:22">
      <c r="A20">
        <v>6</v>
      </c>
      <c r="B20">
        <v>400</v>
      </c>
      <c r="C20">
        <v>1</v>
      </c>
      <c r="D20">
        <f>IF(F20&lt;9999,1,0)</f>
        <v>1</v>
      </c>
      <c r="E20">
        <f>IF(G20&lt;1,1,0)</f>
        <v>1</v>
      </c>
      <c r="F20" s="9">
        <v>343.77800000000002</v>
      </c>
      <c r="G20" s="9">
        <v>0.88293299999999997</v>
      </c>
      <c r="H20" s="9">
        <v>723.15700000000004</v>
      </c>
      <c r="L20" s="3"/>
      <c r="M20" s="2"/>
      <c r="S20" s="2"/>
    </row>
    <row r="21" spans="1:22">
      <c r="A21">
        <v>6</v>
      </c>
      <c r="B21">
        <v>400</v>
      </c>
      <c r="C21">
        <v>2</v>
      </c>
      <c r="D21">
        <f>IF(F21&lt;9999,1,0)</f>
        <v>1</v>
      </c>
      <c r="E21">
        <f t="shared" ref="E21:E24" si="3">IF(G21&lt;1,1,0)</f>
        <v>0</v>
      </c>
      <c r="F21" s="9">
        <v>386.67599999999999</v>
      </c>
      <c r="G21" s="9">
        <v>100</v>
      </c>
      <c r="H21" s="9">
        <v>1800.54</v>
      </c>
      <c r="K21" s="3"/>
      <c r="L21" s="2"/>
      <c r="R21" s="2"/>
    </row>
    <row r="22" spans="1:22">
      <c r="A22">
        <v>6</v>
      </c>
      <c r="B22">
        <v>400</v>
      </c>
      <c r="C22">
        <v>3</v>
      </c>
      <c r="D22">
        <f>IF(F22&lt;9999,1,0)</f>
        <v>1</v>
      </c>
      <c r="E22">
        <f t="shared" si="3"/>
        <v>1</v>
      </c>
      <c r="F22" s="9">
        <v>298.96300000000002</v>
      </c>
      <c r="G22" s="9">
        <v>0.42615700000000001</v>
      </c>
      <c r="H22" s="9">
        <v>3.6224599999999998</v>
      </c>
      <c r="I22" s="3"/>
      <c r="J22" s="3"/>
      <c r="K22" s="2"/>
      <c r="Q22" s="2"/>
    </row>
    <row r="23" spans="1:22">
      <c r="A23">
        <v>6</v>
      </c>
      <c r="B23">
        <v>400</v>
      </c>
      <c r="C23">
        <v>4</v>
      </c>
      <c r="D23">
        <f>IF(F23&lt;9999,1,0)</f>
        <v>1</v>
      </c>
      <c r="E23">
        <f t="shared" si="3"/>
        <v>1</v>
      </c>
      <c r="F23" s="9">
        <v>246.70599999999999</v>
      </c>
      <c r="G23" s="9">
        <v>0.99287899999999996</v>
      </c>
      <c r="H23" s="9">
        <v>353.12299999999999</v>
      </c>
      <c r="I23" s="2"/>
      <c r="J23" s="2"/>
      <c r="P23" s="2"/>
    </row>
    <row r="24" spans="1:22">
      <c r="A24">
        <v>6</v>
      </c>
      <c r="B24">
        <v>400</v>
      </c>
      <c r="C24">
        <v>5</v>
      </c>
      <c r="D24">
        <f>IF(F24&lt;9999,1,0)</f>
        <v>1</v>
      </c>
      <c r="E24">
        <f t="shared" si="3"/>
        <v>0</v>
      </c>
      <c r="F24" s="9">
        <v>297.36900000000003</v>
      </c>
      <c r="G24" s="9">
        <v>100</v>
      </c>
      <c r="H24" s="9">
        <v>1800.38</v>
      </c>
      <c r="O24" s="2"/>
    </row>
    <row r="25" spans="1:22">
      <c r="A25" s="14" t="s">
        <v>6</v>
      </c>
      <c r="B25" s="14"/>
      <c r="C25" s="14"/>
      <c r="D25" s="8">
        <f>SUM(D20:D24)</f>
        <v>5</v>
      </c>
      <c r="E25" s="4">
        <f>SUM(E20:E24)</f>
        <v>3</v>
      </c>
      <c r="F25" s="10">
        <f>($D20*F20+$D21*F21+$D22*F22+$D23*F23+$D24*F24)/$D25</f>
        <v>314.69839999999994</v>
      </c>
      <c r="G25" s="10">
        <f>($D20*G20+$D21*G21+$D22*G22+$D23*G23+$D24*G24)/$D25</f>
        <v>40.460393799999999</v>
      </c>
      <c r="H25" s="10">
        <f>AVERAGE(H20:H24)</f>
        <v>936.16449200000011</v>
      </c>
      <c r="N25" s="2"/>
    </row>
    <row r="26" spans="1:22">
      <c r="A26">
        <v>6</v>
      </c>
      <c r="B26">
        <v>500</v>
      </c>
      <c r="C26">
        <v>1</v>
      </c>
      <c r="D26">
        <f>IF(F26&lt;9999,1,0)</f>
        <v>1</v>
      </c>
      <c r="E26">
        <f>IF(G26&lt;1,1,0)</f>
        <v>1</v>
      </c>
      <c r="F26" s="9">
        <v>169.22399999999999</v>
      </c>
      <c r="G26" s="9">
        <v>0.76556199999999996</v>
      </c>
      <c r="H26" s="9">
        <v>20.235499999999998</v>
      </c>
      <c r="M26" s="2"/>
    </row>
    <row r="27" spans="1:22">
      <c r="A27">
        <v>6</v>
      </c>
      <c r="B27">
        <v>500</v>
      </c>
      <c r="C27">
        <v>2</v>
      </c>
      <c r="D27">
        <f>IF(F27&lt;9999,1,0)</f>
        <v>1</v>
      </c>
      <c r="E27">
        <f t="shared" ref="E27:E30" si="4">IF(G27&lt;1,1,0)</f>
        <v>1</v>
      </c>
      <c r="F27" s="9">
        <v>296.61599999999999</v>
      </c>
      <c r="G27" s="9">
        <v>0.95032899999999998</v>
      </c>
      <c r="H27" s="9">
        <v>599.31600000000003</v>
      </c>
      <c r="L27" s="2"/>
    </row>
    <row r="28" spans="1:22">
      <c r="A28">
        <v>6</v>
      </c>
      <c r="B28">
        <v>500</v>
      </c>
      <c r="C28">
        <v>3</v>
      </c>
      <c r="D28">
        <f>IF(F28&lt;9999,1,0)</f>
        <v>1</v>
      </c>
      <c r="E28">
        <f t="shared" si="4"/>
        <v>0</v>
      </c>
      <c r="F28" s="9">
        <v>314.82299999999998</v>
      </c>
      <c r="G28" s="9">
        <v>100</v>
      </c>
      <c r="H28" s="9">
        <v>1800.01</v>
      </c>
      <c r="K28" s="2"/>
    </row>
    <row r="29" spans="1:22">
      <c r="A29">
        <v>6</v>
      </c>
      <c r="B29">
        <v>500</v>
      </c>
      <c r="C29">
        <v>4</v>
      </c>
      <c r="D29">
        <f>IF(F29&lt;9999,1,0)</f>
        <v>1</v>
      </c>
      <c r="E29">
        <f t="shared" si="4"/>
        <v>1</v>
      </c>
      <c r="F29" s="9">
        <v>205.102</v>
      </c>
      <c r="G29" s="9">
        <v>0.98079000000000005</v>
      </c>
      <c r="H29" s="9">
        <v>1321.62</v>
      </c>
      <c r="I29" s="2"/>
      <c r="J29" s="2"/>
    </row>
    <row r="30" spans="1:22">
      <c r="A30">
        <v>6</v>
      </c>
      <c r="B30">
        <v>500</v>
      </c>
      <c r="C30">
        <v>5</v>
      </c>
      <c r="D30">
        <f>IF(F30&lt;9999,1,0)</f>
        <v>1</v>
      </c>
      <c r="E30">
        <f t="shared" si="4"/>
        <v>0</v>
      </c>
      <c r="F30" s="9">
        <v>270.37599999999998</v>
      </c>
      <c r="G30" s="9">
        <v>100</v>
      </c>
      <c r="H30" s="9">
        <v>1802.59</v>
      </c>
    </row>
    <row r="31" spans="1:22">
      <c r="A31" s="14" t="s">
        <v>6</v>
      </c>
      <c r="B31" s="14"/>
      <c r="C31" s="14"/>
      <c r="D31" s="8">
        <f>SUM(D26:D30)</f>
        <v>5</v>
      </c>
      <c r="E31" s="4">
        <f>SUM(E26:E30)</f>
        <v>3</v>
      </c>
      <c r="F31" s="10">
        <f>($D26*F26+$D27*F27+$D28*F28+$D29*F29+$D30*F30)/$D31</f>
        <v>251.22820000000002</v>
      </c>
      <c r="G31" s="10">
        <f>($D26*G26+$D27*G27+$D28*G28+$D29*G29+$D30*G30)/$D31</f>
        <v>40.539336200000001</v>
      </c>
      <c r="H31" s="10">
        <f>AVERAGE(H26:H30)</f>
        <v>1108.7543000000001</v>
      </c>
    </row>
    <row r="33" spans="1:8">
      <c r="A33" s="13" t="s">
        <v>8</v>
      </c>
      <c r="B33" s="13"/>
      <c r="C33" s="13"/>
      <c r="D33" s="2">
        <f>SUM(D7,D13,D19,D25,D31)</f>
        <v>25</v>
      </c>
      <c r="E33" s="2">
        <f>SUM(E7,E13,E19,E25,E31)</f>
        <v>15</v>
      </c>
      <c r="F33" s="11">
        <f>(F7*$D7+F13*$D13+F19*$D19+F25*$D25+F31*$D31)/($D7+$D13+$D19+$D25+$D31)</f>
        <v>320.05904000000004</v>
      </c>
      <c r="G33" s="11">
        <f>(G7*$D7+G13*$D13+G19*$D19+G25*$D25+G31*$D31)/($D7+$D13+$D19+$D25+$D31)</f>
        <v>28.826563</v>
      </c>
      <c r="H33" s="11">
        <f>AVERAGE(H7,H13,H19,H25,H31)</f>
        <v>863.50176720000013</v>
      </c>
    </row>
    <row r="55" spans="9:9">
      <c r="I55">
        <v>256.57499999999999</v>
      </c>
    </row>
  </sheetData>
  <mergeCells count="6">
    <mergeCell ref="A33:C33"/>
    <mergeCell ref="A7:C7"/>
    <mergeCell ref="A13:C13"/>
    <mergeCell ref="A19:C19"/>
    <mergeCell ref="A25:C25"/>
    <mergeCell ref="A31:C31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EE198-2C99-461D-86CC-DE80BD602EBD}">
  <dimension ref="A1:AI55"/>
  <sheetViews>
    <sheetView workbookViewId="0">
      <selection activeCell="H21" sqref="H21"/>
    </sheetView>
  </sheetViews>
  <sheetFormatPr defaultRowHeight="15"/>
  <cols>
    <col min="6" max="6" width="12.28515625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10</v>
      </c>
      <c r="E1" s="1" t="s">
        <v>7</v>
      </c>
      <c r="F1" s="1" t="s">
        <v>5</v>
      </c>
      <c r="G1" s="1" t="s">
        <v>3</v>
      </c>
      <c r="H1" s="1" t="s">
        <v>4</v>
      </c>
      <c r="N1" s="2"/>
      <c r="T1" s="2"/>
      <c r="Z1" s="2"/>
      <c r="AE1" s="3"/>
      <c r="AF1" s="2"/>
    </row>
    <row r="2" spans="1:35">
      <c r="A2">
        <v>8</v>
      </c>
      <c r="B2">
        <v>100</v>
      </c>
      <c r="C2">
        <v>1</v>
      </c>
      <c r="D2">
        <f>IF(F2&lt;9999,1,0)</f>
        <v>1</v>
      </c>
      <c r="E2">
        <f>IF(G2&lt;1,1,0)</f>
        <v>0</v>
      </c>
      <c r="F2" s="9">
        <v>323.93099999999998</v>
      </c>
      <c r="G2" s="9">
        <v>3.92381</v>
      </c>
      <c r="H2" s="9">
        <v>1800.07</v>
      </c>
      <c r="M2" s="2"/>
      <c r="S2" s="2"/>
      <c r="Y2" s="2"/>
      <c r="AD2" s="3"/>
      <c r="AE2" s="2"/>
    </row>
    <row r="3" spans="1:35">
      <c r="A3">
        <v>8</v>
      </c>
      <c r="B3">
        <v>100</v>
      </c>
      <c r="C3">
        <v>2</v>
      </c>
      <c r="D3">
        <f>IF(F3&lt;9999,1,0)</f>
        <v>1</v>
      </c>
      <c r="E3">
        <f t="shared" ref="E3:E6" si="0">IF(G3&lt;1,1,0)</f>
        <v>0</v>
      </c>
      <c r="F3" s="9">
        <v>297.51900000000001</v>
      </c>
      <c r="G3" s="9">
        <v>100</v>
      </c>
      <c r="H3" s="9">
        <v>1800.26</v>
      </c>
      <c r="L3" s="2"/>
      <c r="R3" s="2"/>
      <c r="X3" s="2"/>
      <c r="AC3" s="3"/>
      <c r="AD3" s="2"/>
    </row>
    <row r="4" spans="1:35">
      <c r="A4">
        <v>8</v>
      </c>
      <c r="B4">
        <v>100</v>
      </c>
      <c r="C4">
        <v>3</v>
      </c>
      <c r="D4">
        <f>IF(F4&lt;9999,1,0)</f>
        <v>1</v>
      </c>
      <c r="E4">
        <f t="shared" si="0"/>
        <v>0</v>
      </c>
      <c r="F4" s="9">
        <v>517.72</v>
      </c>
      <c r="G4" s="9">
        <v>100</v>
      </c>
      <c r="H4" s="9">
        <v>1804.49</v>
      </c>
      <c r="K4" s="2"/>
      <c r="Q4" s="2"/>
      <c r="W4" s="2"/>
      <c r="AB4" s="3"/>
      <c r="AC4" s="2"/>
      <c r="AI4" s="2"/>
    </row>
    <row r="5" spans="1:35">
      <c r="A5">
        <v>8</v>
      </c>
      <c r="B5">
        <v>100</v>
      </c>
      <c r="C5">
        <v>4</v>
      </c>
      <c r="D5">
        <f>IF(F5&lt;9999,1,0)</f>
        <v>1</v>
      </c>
      <c r="E5">
        <f t="shared" si="0"/>
        <v>0</v>
      </c>
      <c r="F5" s="9">
        <v>295.065</v>
      </c>
      <c r="G5" s="9">
        <v>2.3439999999999999</v>
      </c>
      <c r="H5" s="9">
        <v>1800.03</v>
      </c>
      <c r="I5" s="2"/>
      <c r="J5" s="2"/>
      <c r="P5" s="2"/>
      <c r="V5" s="2"/>
      <c r="AA5" s="3"/>
      <c r="AB5" s="2"/>
      <c r="AH5" s="2"/>
    </row>
    <row r="6" spans="1:35">
      <c r="A6">
        <v>8</v>
      </c>
      <c r="B6">
        <v>100</v>
      </c>
      <c r="C6">
        <v>5</v>
      </c>
      <c r="D6">
        <f>IF(F6&lt;9999,1,0)</f>
        <v>1</v>
      </c>
      <c r="E6">
        <f t="shared" si="0"/>
        <v>0</v>
      </c>
      <c r="F6" s="9">
        <v>479.22399999999999</v>
      </c>
      <c r="G6" s="9">
        <v>100</v>
      </c>
      <c r="H6" s="9">
        <v>1800.08</v>
      </c>
    </row>
    <row r="7" spans="1:35">
      <c r="A7" s="14" t="s">
        <v>6</v>
      </c>
      <c r="B7" s="14"/>
      <c r="C7" s="14"/>
      <c r="D7" s="8">
        <f>SUM(D2:D6)</f>
        <v>5</v>
      </c>
      <c r="E7" s="4">
        <f>SUM(E2:E6)</f>
        <v>0</v>
      </c>
      <c r="F7" s="10">
        <f>($D2*F2+$D3*F3+$D4*F4+$D5*F5+$D6*F6)/$D7</f>
        <v>382.6918</v>
      </c>
      <c r="G7" s="10">
        <f>($D2*G2+$D3*G3+$D4*G4+$D5*G5+$D6*G6)/$D7</f>
        <v>61.253562000000002</v>
      </c>
      <c r="H7" s="10">
        <f>AVERAGE(H2:H6)</f>
        <v>1800.9860000000001</v>
      </c>
      <c r="N7" s="2"/>
      <c r="T7" s="2"/>
      <c r="Y7" s="3"/>
      <c r="Z7" s="2"/>
      <c r="AF7" s="2"/>
    </row>
    <row r="8" spans="1:35">
      <c r="A8">
        <v>8</v>
      </c>
      <c r="B8">
        <v>200</v>
      </c>
      <c r="C8">
        <v>1</v>
      </c>
      <c r="D8">
        <f>IF(F8&lt;9999,1,0)</f>
        <v>1</v>
      </c>
      <c r="E8">
        <f>IF(G8&lt;1,1,0)</f>
        <v>0</v>
      </c>
      <c r="F8" s="9">
        <v>351.42899999999997</v>
      </c>
      <c r="G8" s="9">
        <v>100</v>
      </c>
      <c r="H8" s="9">
        <v>1800.3</v>
      </c>
      <c r="M8" s="2"/>
      <c r="S8" s="2"/>
      <c r="X8" s="3"/>
      <c r="Y8" s="2"/>
      <c r="AE8" s="2"/>
    </row>
    <row r="9" spans="1:35">
      <c r="A9">
        <v>8</v>
      </c>
      <c r="B9">
        <v>200</v>
      </c>
      <c r="C9">
        <v>2</v>
      </c>
      <c r="D9">
        <f>IF(F9&lt;9999,1,0)</f>
        <v>1</v>
      </c>
      <c r="E9">
        <f t="shared" ref="E9:E12" si="1">IF(G9&lt;1,1,0)</f>
        <v>0</v>
      </c>
      <c r="F9" s="9">
        <v>601.81500000000005</v>
      </c>
      <c r="G9" s="9">
        <v>100</v>
      </c>
      <c r="H9" s="9">
        <v>1800.31</v>
      </c>
      <c r="L9" s="2"/>
      <c r="R9" s="2"/>
      <c r="W9" s="3"/>
      <c r="X9" s="2"/>
      <c r="AD9" s="2"/>
    </row>
    <row r="10" spans="1:35">
      <c r="A10">
        <v>8</v>
      </c>
      <c r="B10">
        <v>200</v>
      </c>
      <c r="C10">
        <v>3</v>
      </c>
      <c r="D10">
        <f>IF(F10&lt;9999,1,0)</f>
        <v>1</v>
      </c>
      <c r="E10">
        <f t="shared" si="1"/>
        <v>0</v>
      </c>
      <c r="F10" s="9">
        <v>537.69500000000005</v>
      </c>
      <c r="G10" s="9">
        <v>100</v>
      </c>
      <c r="H10" s="9">
        <v>1800.02</v>
      </c>
      <c r="K10" s="2"/>
      <c r="Q10" s="2"/>
      <c r="V10" s="3"/>
      <c r="W10" s="2"/>
      <c r="AC10" s="2"/>
    </row>
    <row r="11" spans="1:35">
      <c r="A11">
        <v>8</v>
      </c>
      <c r="B11">
        <v>200</v>
      </c>
      <c r="C11">
        <v>4</v>
      </c>
      <c r="D11">
        <f>IF(F11&lt;9999,1,0)</f>
        <v>1</v>
      </c>
      <c r="E11">
        <f t="shared" si="1"/>
        <v>0</v>
      </c>
      <c r="F11" s="9">
        <v>451.88499999999999</v>
      </c>
      <c r="G11" s="9">
        <v>100</v>
      </c>
      <c r="H11" s="9">
        <v>1800.31</v>
      </c>
      <c r="I11" s="2"/>
      <c r="J11" s="2"/>
      <c r="P11" s="2"/>
      <c r="U11" s="3"/>
      <c r="V11" s="2"/>
      <c r="AB11" s="2"/>
    </row>
    <row r="12" spans="1:35">
      <c r="A12">
        <v>8</v>
      </c>
      <c r="B12">
        <v>200</v>
      </c>
      <c r="C12">
        <v>5</v>
      </c>
      <c r="D12">
        <f>IF(F12&lt;9999,1,0)</f>
        <v>1</v>
      </c>
      <c r="E12">
        <f t="shared" si="1"/>
        <v>0</v>
      </c>
      <c r="F12" s="9">
        <v>470.613</v>
      </c>
      <c r="G12" s="9">
        <v>100</v>
      </c>
      <c r="H12" s="9">
        <v>1800.27</v>
      </c>
      <c r="O12" s="2"/>
      <c r="U12" s="2"/>
      <c r="AA12" s="2"/>
    </row>
    <row r="13" spans="1:35">
      <c r="A13" s="14" t="s">
        <v>6</v>
      </c>
      <c r="B13" s="14"/>
      <c r="C13" s="14"/>
      <c r="D13" s="8">
        <f>SUM(D8:D12)</f>
        <v>5</v>
      </c>
      <c r="E13" s="4">
        <f>SUM(E8:E12)</f>
        <v>0</v>
      </c>
      <c r="F13" s="10">
        <f>($D8*F8+$D9*F9+$D10*F10+$D11*F11+$D12*F12)/$D13</f>
        <v>482.68739999999997</v>
      </c>
      <c r="G13" s="10">
        <f>($D8*G8+$D9*G9+$D10*G10+$D11*G11+$D12*G12)/$D13</f>
        <v>100</v>
      </c>
      <c r="H13" s="10">
        <f>AVERAGE(H8:H12)</f>
        <v>1800.2419999999997</v>
      </c>
      <c r="N13" s="2"/>
      <c r="S13" s="3"/>
      <c r="T13" s="2"/>
      <c r="Z13" s="2"/>
    </row>
    <row r="14" spans="1:35">
      <c r="A14">
        <v>8</v>
      </c>
      <c r="B14">
        <v>300</v>
      </c>
      <c r="C14">
        <v>1</v>
      </c>
      <c r="D14">
        <f>IF(F14&lt;9999,1,0)</f>
        <v>1</v>
      </c>
      <c r="E14">
        <f>IF(G14&lt;1,1,0)</f>
        <v>0</v>
      </c>
      <c r="F14" s="9">
        <v>364.76400000000001</v>
      </c>
      <c r="G14" s="9">
        <v>100</v>
      </c>
      <c r="H14" s="9">
        <v>1800.18</v>
      </c>
      <c r="M14" s="2"/>
      <c r="R14" s="3"/>
      <c r="S14" s="2"/>
      <c r="Y14" s="2"/>
    </row>
    <row r="15" spans="1:35">
      <c r="A15">
        <v>8</v>
      </c>
      <c r="B15">
        <v>300</v>
      </c>
      <c r="C15">
        <v>2</v>
      </c>
      <c r="D15">
        <f>IF(F15&lt;9999,1,0)</f>
        <v>1</v>
      </c>
      <c r="E15">
        <f t="shared" ref="E15:E18" si="2">IF(G15&lt;1,1,0)</f>
        <v>0</v>
      </c>
      <c r="F15" s="9">
        <v>409.43599999999998</v>
      </c>
      <c r="G15" s="9">
        <v>100</v>
      </c>
      <c r="H15" s="9">
        <v>1800.62</v>
      </c>
      <c r="L15" s="2"/>
      <c r="Q15" s="3"/>
      <c r="R15" s="2"/>
      <c r="X15" s="2"/>
    </row>
    <row r="16" spans="1:35">
      <c r="A16">
        <v>8</v>
      </c>
      <c r="B16">
        <v>300</v>
      </c>
      <c r="C16">
        <v>3</v>
      </c>
      <c r="D16">
        <f>IF(F16&lt;9999,1,0)</f>
        <v>1</v>
      </c>
      <c r="E16">
        <f t="shared" si="2"/>
        <v>0</v>
      </c>
      <c r="F16" s="9">
        <v>374.07400000000001</v>
      </c>
      <c r="G16" s="9">
        <v>100</v>
      </c>
      <c r="H16" s="9">
        <v>1800.07</v>
      </c>
      <c r="K16" s="2"/>
      <c r="P16" s="3"/>
      <c r="Q16" s="2"/>
      <c r="W16" s="2"/>
    </row>
    <row r="17" spans="1:22">
      <c r="A17">
        <v>8</v>
      </c>
      <c r="B17">
        <v>300</v>
      </c>
      <c r="C17">
        <v>4</v>
      </c>
      <c r="D17">
        <f>IF(F17&lt;9999,1,0)</f>
        <v>1</v>
      </c>
      <c r="E17">
        <f t="shared" si="2"/>
        <v>0</v>
      </c>
      <c r="F17" s="9">
        <v>349.70499999999998</v>
      </c>
      <c r="G17" s="9">
        <v>100</v>
      </c>
      <c r="H17" s="9">
        <v>1800.21</v>
      </c>
      <c r="I17" s="2"/>
      <c r="J17" s="2"/>
      <c r="O17" s="3"/>
      <c r="P17" s="2"/>
      <c r="V17" s="2"/>
    </row>
    <row r="18" spans="1:22">
      <c r="A18">
        <v>8</v>
      </c>
      <c r="B18">
        <v>300</v>
      </c>
      <c r="C18">
        <v>5</v>
      </c>
      <c r="D18">
        <f>IF(F18&lt;9999,1,0)</f>
        <v>1</v>
      </c>
      <c r="E18">
        <f t="shared" si="2"/>
        <v>0</v>
      </c>
      <c r="F18" s="9">
        <v>307.25700000000001</v>
      </c>
      <c r="G18" s="9">
        <v>100</v>
      </c>
      <c r="H18" s="9">
        <v>1800.38</v>
      </c>
      <c r="O18" s="2"/>
      <c r="U18" s="2"/>
    </row>
    <row r="19" spans="1:22">
      <c r="A19" s="14" t="s">
        <v>6</v>
      </c>
      <c r="B19" s="14"/>
      <c r="C19" s="14"/>
      <c r="D19" s="8">
        <f>SUM(D14:D18)</f>
        <v>5</v>
      </c>
      <c r="E19" s="4">
        <f>SUM(E14:E18)</f>
        <v>0</v>
      </c>
      <c r="F19" s="10">
        <f>($D14*F14+$D15*F15+$D16*F16+$D17*F17+$D18*F18)/$D19</f>
        <v>361.04720000000003</v>
      </c>
      <c r="G19" s="10">
        <f>($D14*G14+$D15*G15+$D16*G16+$D17*G17+$D18*G18)/$D19</f>
        <v>100</v>
      </c>
      <c r="H19" s="10">
        <f>AVERAGE(H14:H18)</f>
        <v>1800.2919999999999</v>
      </c>
      <c r="M19" s="3"/>
      <c r="N19" s="2"/>
      <c r="T19" s="2"/>
    </row>
    <row r="20" spans="1:22">
      <c r="A20">
        <v>8</v>
      </c>
      <c r="B20">
        <v>400</v>
      </c>
      <c r="C20">
        <v>1</v>
      </c>
      <c r="D20">
        <f>IF(F20&lt;9999,1,0)</f>
        <v>1</v>
      </c>
      <c r="E20">
        <f>IF(G20&lt;1,1,0)</f>
        <v>0</v>
      </c>
      <c r="F20" s="9">
        <v>310.303</v>
      </c>
      <c r="G20" s="9">
        <v>100</v>
      </c>
      <c r="H20" s="9">
        <v>1800.43</v>
      </c>
      <c r="L20" s="3"/>
      <c r="M20" s="2"/>
      <c r="S20" s="2"/>
    </row>
    <row r="21" spans="1:22">
      <c r="A21">
        <v>8</v>
      </c>
      <c r="B21">
        <v>400</v>
      </c>
      <c r="C21">
        <v>2</v>
      </c>
      <c r="D21">
        <f>IF(F21&lt;9999,1,0)</f>
        <v>1</v>
      </c>
      <c r="E21">
        <f t="shared" ref="E21:E24" si="3">IF(G21&lt;1,1,0)</f>
        <v>0</v>
      </c>
      <c r="F21" s="9">
        <v>296.892</v>
      </c>
      <c r="G21" s="9">
        <v>100</v>
      </c>
      <c r="H21" s="9">
        <v>1805.53</v>
      </c>
      <c r="K21" s="3"/>
      <c r="L21" s="2"/>
      <c r="R21" s="2"/>
    </row>
    <row r="22" spans="1:22">
      <c r="A22">
        <v>8</v>
      </c>
      <c r="B22">
        <v>400</v>
      </c>
      <c r="C22">
        <v>3</v>
      </c>
      <c r="D22">
        <f>IF(F22&lt;9999,1,0)</f>
        <v>1</v>
      </c>
      <c r="E22">
        <f t="shared" si="3"/>
        <v>0</v>
      </c>
      <c r="F22" s="9">
        <v>349.15100000000001</v>
      </c>
      <c r="G22" s="9">
        <v>100</v>
      </c>
      <c r="H22" s="9">
        <v>1802.77</v>
      </c>
      <c r="I22" s="3"/>
      <c r="J22" s="3"/>
      <c r="K22" s="2"/>
      <c r="Q22" s="2"/>
    </row>
    <row r="23" spans="1:22">
      <c r="A23">
        <v>8</v>
      </c>
      <c r="B23">
        <v>400</v>
      </c>
      <c r="C23">
        <v>4</v>
      </c>
      <c r="D23">
        <f>IF(F23&lt;9999,1,0)</f>
        <v>1</v>
      </c>
      <c r="E23">
        <f t="shared" si="3"/>
        <v>0</v>
      </c>
      <c r="F23" s="9">
        <v>477.93200000000002</v>
      </c>
      <c r="G23" s="9">
        <v>100</v>
      </c>
      <c r="H23" s="9">
        <v>1803.65</v>
      </c>
      <c r="I23" s="2"/>
      <c r="J23" s="2"/>
      <c r="P23" s="2"/>
    </row>
    <row r="24" spans="1:22">
      <c r="A24">
        <v>8</v>
      </c>
      <c r="B24">
        <v>400</v>
      </c>
      <c r="C24">
        <v>5</v>
      </c>
      <c r="D24">
        <f>IF(F24&lt;9999,1,0)</f>
        <v>1</v>
      </c>
      <c r="E24">
        <f t="shared" si="3"/>
        <v>0</v>
      </c>
      <c r="F24" s="9">
        <v>296.096</v>
      </c>
      <c r="G24" s="9">
        <v>100</v>
      </c>
      <c r="H24" s="9">
        <v>1803.3</v>
      </c>
      <c r="O24" s="2"/>
    </row>
    <row r="25" spans="1:22">
      <c r="A25" s="14" t="s">
        <v>6</v>
      </c>
      <c r="B25" s="14"/>
      <c r="C25" s="14"/>
      <c r="D25" s="8">
        <f>SUM(D20:D24)</f>
        <v>5</v>
      </c>
      <c r="E25" s="4">
        <f>SUM(E20:E24)</f>
        <v>0</v>
      </c>
      <c r="F25" s="10">
        <f>($D20*F20+$D21*F21+$D22*F22+$D23*F23+$D24*F24)/$D25</f>
        <v>346.07479999999998</v>
      </c>
      <c r="G25" s="10">
        <f>($D20*G20+$D21*G21+$D22*G22+$D23*G23+$D24*G24)/$D25</f>
        <v>100</v>
      </c>
      <c r="H25" s="10">
        <f>AVERAGE(H20:H24)</f>
        <v>1803.1359999999997</v>
      </c>
      <c r="N25" s="2"/>
    </row>
    <row r="26" spans="1:22">
      <c r="A26">
        <v>8</v>
      </c>
      <c r="B26">
        <v>500</v>
      </c>
      <c r="C26">
        <v>1</v>
      </c>
      <c r="D26">
        <f>IF(F26&lt;9999,1,0)</f>
        <v>1</v>
      </c>
      <c r="E26">
        <f>IF(G26&lt;1,1,0)</f>
        <v>0</v>
      </c>
      <c r="F26" s="9">
        <v>361.27</v>
      </c>
      <c r="G26" s="9">
        <v>100</v>
      </c>
      <c r="H26" s="9">
        <v>1804.09</v>
      </c>
      <c r="M26" s="2"/>
    </row>
    <row r="27" spans="1:22">
      <c r="A27">
        <v>8</v>
      </c>
      <c r="B27">
        <v>500</v>
      </c>
      <c r="C27">
        <v>2</v>
      </c>
      <c r="D27">
        <f>IF(F27&lt;9999,1,0)</f>
        <v>1</v>
      </c>
      <c r="E27">
        <f t="shared" ref="E27:E30" si="4">IF(G27&lt;1,1,0)</f>
        <v>0</v>
      </c>
      <c r="F27" s="9">
        <v>345.40499999999997</v>
      </c>
      <c r="G27" s="9">
        <v>100</v>
      </c>
      <c r="H27" s="9">
        <v>1800.32</v>
      </c>
      <c r="L27" s="2"/>
    </row>
    <row r="28" spans="1:22">
      <c r="A28">
        <v>8</v>
      </c>
      <c r="B28">
        <v>500</v>
      </c>
      <c r="C28">
        <v>3</v>
      </c>
      <c r="D28">
        <f>IF(F28&lt;9999,1,0)</f>
        <v>1</v>
      </c>
      <c r="E28">
        <f t="shared" si="4"/>
        <v>0</v>
      </c>
      <c r="F28" s="9">
        <v>506.476</v>
      </c>
      <c r="G28" s="9">
        <v>100</v>
      </c>
      <c r="H28" s="9">
        <v>1800.87</v>
      </c>
      <c r="K28" s="2"/>
    </row>
    <row r="29" spans="1:22">
      <c r="A29">
        <v>8</v>
      </c>
      <c r="B29">
        <v>500</v>
      </c>
      <c r="C29">
        <v>4</v>
      </c>
      <c r="D29">
        <f>IF(F29&lt;9999,1,0)</f>
        <v>1</v>
      </c>
      <c r="E29">
        <f t="shared" si="4"/>
        <v>0</v>
      </c>
      <c r="F29" s="9">
        <v>501.25700000000001</v>
      </c>
      <c r="G29" s="9">
        <v>100</v>
      </c>
      <c r="H29" s="9">
        <v>1800.57</v>
      </c>
      <c r="I29" s="2"/>
      <c r="J29" s="2"/>
    </row>
    <row r="30" spans="1:22">
      <c r="A30">
        <v>8</v>
      </c>
      <c r="B30">
        <v>500</v>
      </c>
      <c r="C30">
        <v>5</v>
      </c>
      <c r="D30">
        <f>IF(F30&lt;9999,1,0)</f>
        <v>1</v>
      </c>
      <c r="E30">
        <f t="shared" si="4"/>
        <v>0</v>
      </c>
      <c r="F30" s="9">
        <v>329.07</v>
      </c>
      <c r="G30" s="9">
        <v>100</v>
      </c>
      <c r="H30" s="9">
        <v>1800.69</v>
      </c>
    </row>
    <row r="31" spans="1:22">
      <c r="A31" s="14" t="s">
        <v>6</v>
      </c>
      <c r="B31" s="14"/>
      <c r="C31" s="14"/>
      <c r="D31" s="8">
        <f>SUM(D26:D30)</f>
        <v>5</v>
      </c>
      <c r="E31" s="4">
        <f>SUM(E26:E30)</f>
        <v>0</v>
      </c>
      <c r="F31" s="10">
        <f>($D26*F26+$D27*F27+$D28*F28+$D29*F29+$D30*F30)/$D31</f>
        <v>408.69559999999996</v>
      </c>
      <c r="G31" s="10">
        <f>($D26*G26+$D27*G27+$D28*G28+$D29*G29+$D30*G30)/$D31</f>
        <v>100</v>
      </c>
      <c r="H31" s="10">
        <f>AVERAGE(H26:H30)</f>
        <v>1801.3079999999998</v>
      </c>
    </row>
    <row r="33" spans="1:8">
      <c r="A33" s="13" t="s">
        <v>8</v>
      </c>
      <c r="B33" s="13"/>
      <c r="C33" s="13"/>
      <c r="D33" s="2">
        <f>SUM(D7,D13,D19,D25,D31)</f>
        <v>25</v>
      </c>
      <c r="E33" s="2">
        <f>SUM(E7,E13,E19,E25,E31)</f>
        <v>0</v>
      </c>
      <c r="F33" s="11">
        <f>(F7*$D7+F13*$D13+F19*$D19+F25*$D25+F31*$D31)/($D7+$D13+$D19+$D25+$D31)</f>
        <v>396.23935999999992</v>
      </c>
      <c r="G33" s="11">
        <f>(G7*$D7+G13*$D13+G19*$D19+G25*$D25+G31*$D31)/($D7+$D13+$D19+$D25+$D31)</f>
        <v>92.250712400000012</v>
      </c>
      <c r="H33" s="11">
        <f>AVERAGE(H7,H13,H19,H25,H31)</f>
        <v>1801.1928</v>
      </c>
    </row>
    <row r="55" spans="9:9">
      <c r="I55">
        <v>829.32500000000005</v>
      </c>
    </row>
  </sheetData>
  <mergeCells count="6">
    <mergeCell ref="A33:C33"/>
    <mergeCell ref="A7:C7"/>
    <mergeCell ref="A13:C13"/>
    <mergeCell ref="A19:C19"/>
    <mergeCell ref="A25:C25"/>
    <mergeCell ref="A31:C31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8CFB0-FB2D-45FB-956D-37EA2EF91C38}">
  <dimension ref="A1:AI55"/>
  <sheetViews>
    <sheetView tabSelected="1" workbookViewId="0">
      <selection activeCell="F1" sqref="F1:F1048576"/>
    </sheetView>
  </sheetViews>
  <sheetFormatPr defaultRowHeight="15"/>
  <cols>
    <col min="6" max="6" width="12.28515625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10</v>
      </c>
      <c r="E1" s="1" t="s">
        <v>7</v>
      </c>
      <c r="F1" s="1" t="s">
        <v>5</v>
      </c>
      <c r="G1" s="1" t="s">
        <v>3</v>
      </c>
      <c r="H1" s="1" t="s">
        <v>4</v>
      </c>
      <c r="N1" s="2"/>
      <c r="T1" s="2"/>
      <c r="Z1" s="2"/>
      <c r="AE1" s="3"/>
      <c r="AF1" s="2"/>
    </row>
    <row r="2" spans="1:35">
      <c r="A2">
        <v>10</v>
      </c>
      <c r="B2">
        <v>100</v>
      </c>
      <c r="C2">
        <v>1</v>
      </c>
      <c r="D2">
        <f>IF(F2&lt;9999,1,0)</f>
        <v>1</v>
      </c>
      <c r="E2">
        <f>IF(G2&lt;1,1,0)</f>
        <v>0</v>
      </c>
      <c r="F2" s="9">
        <v>845.11</v>
      </c>
      <c r="G2" s="9">
        <v>100</v>
      </c>
      <c r="H2" s="9">
        <v>1803.03</v>
      </c>
      <c r="M2" s="2"/>
      <c r="S2" s="2"/>
      <c r="Y2" s="2"/>
      <c r="AD2" s="3"/>
      <c r="AE2" s="2"/>
    </row>
    <row r="3" spans="1:35">
      <c r="A3">
        <v>10</v>
      </c>
      <c r="B3">
        <v>100</v>
      </c>
      <c r="C3">
        <v>2</v>
      </c>
      <c r="D3">
        <f>IF(F3&lt;9999,1,0)</f>
        <v>1</v>
      </c>
      <c r="E3">
        <f t="shared" ref="E3:E6" si="0">IF(G3&lt;1,1,0)</f>
        <v>0</v>
      </c>
      <c r="F3" s="9">
        <v>479.02800000000002</v>
      </c>
      <c r="G3" s="9">
        <v>100</v>
      </c>
      <c r="H3" s="9">
        <v>1800.27</v>
      </c>
      <c r="L3" s="2"/>
      <c r="R3" s="2"/>
      <c r="X3" s="2"/>
      <c r="AC3" s="3"/>
      <c r="AD3" s="2"/>
    </row>
    <row r="4" spans="1:35">
      <c r="A4">
        <v>10</v>
      </c>
      <c r="B4">
        <v>100</v>
      </c>
      <c r="C4">
        <v>3</v>
      </c>
      <c r="D4">
        <f>IF(F4&lt;9999,1,0)</f>
        <v>1</v>
      </c>
      <c r="E4">
        <f t="shared" si="0"/>
        <v>0</v>
      </c>
      <c r="F4" s="9">
        <v>459.24700000000001</v>
      </c>
      <c r="G4" s="9">
        <v>100</v>
      </c>
      <c r="H4" s="9">
        <v>1800.18</v>
      </c>
      <c r="K4" s="2"/>
      <c r="Q4" s="2"/>
      <c r="W4" s="2"/>
      <c r="AB4" s="3"/>
      <c r="AC4" s="2"/>
      <c r="AI4" s="2"/>
    </row>
    <row r="5" spans="1:35">
      <c r="A5">
        <v>10</v>
      </c>
      <c r="B5">
        <v>100</v>
      </c>
      <c r="C5">
        <v>4</v>
      </c>
      <c r="D5">
        <f>IF(F5&lt;9999,1,0)</f>
        <v>1</v>
      </c>
      <c r="E5">
        <f t="shared" si="0"/>
        <v>0</v>
      </c>
      <c r="F5" s="9">
        <v>423.072</v>
      </c>
      <c r="G5" s="9">
        <v>100</v>
      </c>
      <c r="H5" s="9">
        <v>1803.64</v>
      </c>
      <c r="I5" s="2"/>
      <c r="J5" s="2"/>
      <c r="P5" s="2"/>
      <c r="V5" s="2"/>
      <c r="AA5" s="3"/>
      <c r="AB5" s="2"/>
      <c r="AH5" s="2"/>
    </row>
    <row r="6" spans="1:35">
      <c r="A6">
        <v>10</v>
      </c>
      <c r="B6">
        <v>100</v>
      </c>
      <c r="C6">
        <v>5</v>
      </c>
      <c r="D6">
        <f>IF(F6&lt;9999,1,0)</f>
        <v>1</v>
      </c>
      <c r="E6">
        <f t="shared" si="0"/>
        <v>0</v>
      </c>
      <c r="F6" s="9">
        <v>363.827</v>
      </c>
      <c r="G6" s="9">
        <v>100</v>
      </c>
      <c r="H6" s="9">
        <v>1803.94</v>
      </c>
    </row>
    <row r="7" spans="1:35">
      <c r="A7" s="14" t="s">
        <v>6</v>
      </c>
      <c r="B7" s="14"/>
      <c r="C7" s="14"/>
      <c r="D7" s="8">
        <f>SUM(D2:D6)</f>
        <v>5</v>
      </c>
      <c r="E7" s="4">
        <f>SUM(E2:E6)</f>
        <v>0</v>
      </c>
      <c r="F7" s="10">
        <f>($D2*F2+$D3*F3+$D4*F4+$D5*F5+$D6*F6)/$D7</f>
        <v>514.05679999999995</v>
      </c>
      <c r="G7" s="10">
        <f>($D2*G2+$D3*G3+$D4*G4+$D5*G5+$D6*G6)/$D7</f>
        <v>100</v>
      </c>
      <c r="H7" s="10">
        <f>AVERAGE(H2:H6)</f>
        <v>1802.2120000000002</v>
      </c>
      <c r="N7" s="2"/>
      <c r="T7" s="2"/>
      <c r="Y7" s="3"/>
      <c r="Z7" s="2"/>
      <c r="AF7" s="2"/>
    </row>
    <row r="8" spans="1:35">
      <c r="A8">
        <v>10</v>
      </c>
      <c r="B8">
        <v>200</v>
      </c>
      <c r="C8">
        <v>1</v>
      </c>
      <c r="D8">
        <f>IF(F8&lt;9999,1,0)</f>
        <v>1</v>
      </c>
      <c r="E8">
        <f>IF(G8&lt;1,1,0)</f>
        <v>0</v>
      </c>
      <c r="F8" s="9">
        <v>595.62199999999996</v>
      </c>
      <c r="G8" s="9">
        <v>100</v>
      </c>
      <c r="H8" s="9">
        <v>1800.3</v>
      </c>
      <c r="M8" s="2"/>
      <c r="S8" s="2"/>
      <c r="X8" s="3"/>
      <c r="Y8" s="2"/>
      <c r="AE8" s="2"/>
    </row>
    <row r="9" spans="1:35">
      <c r="A9">
        <v>10</v>
      </c>
      <c r="B9">
        <v>200</v>
      </c>
      <c r="C9">
        <v>2</v>
      </c>
      <c r="D9">
        <f>IF(F9&lt;9999,1,0)</f>
        <v>1</v>
      </c>
      <c r="E9">
        <f t="shared" ref="E9:E12" si="1">IF(G9&lt;1,1,0)</f>
        <v>0</v>
      </c>
      <c r="F9" s="9">
        <v>331.12799999999999</v>
      </c>
      <c r="G9" s="9">
        <v>100</v>
      </c>
      <c r="H9" s="9">
        <v>1800.18</v>
      </c>
      <c r="L9" s="2"/>
      <c r="R9" s="2"/>
      <c r="W9" s="3"/>
      <c r="X9" s="2"/>
      <c r="AD9" s="2"/>
    </row>
    <row r="10" spans="1:35">
      <c r="A10">
        <v>10</v>
      </c>
      <c r="B10">
        <v>200</v>
      </c>
      <c r="C10">
        <v>3</v>
      </c>
      <c r="D10">
        <f>IF(F10&lt;9999,1,0)</f>
        <v>1</v>
      </c>
      <c r="E10">
        <f t="shared" si="1"/>
        <v>0</v>
      </c>
      <c r="F10" s="9">
        <v>465.65199999999999</v>
      </c>
      <c r="G10" s="9">
        <v>100</v>
      </c>
      <c r="H10" s="9">
        <v>1800.48</v>
      </c>
      <c r="K10" s="2"/>
      <c r="Q10" s="2"/>
      <c r="V10" s="3"/>
      <c r="W10" s="2"/>
      <c r="AC10" s="2"/>
    </row>
    <row r="11" spans="1:35">
      <c r="A11">
        <v>10</v>
      </c>
      <c r="B11">
        <v>200</v>
      </c>
      <c r="C11">
        <v>4</v>
      </c>
      <c r="D11">
        <f>IF(F11&lt;9999,1,0)</f>
        <v>1</v>
      </c>
      <c r="E11">
        <f t="shared" si="1"/>
        <v>0</v>
      </c>
      <c r="F11" s="9">
        <v>506.62700000000001</v>
      </c>
      <c r="G11" s="9">
        <v>100</v>
      </c>
      <c r="H11" s="9">
        <v>1800.48</v>
      </c>
      <c r="I11" s="2"/>
      <c r="J11" s="2"/>
      <c r="P11" s="2"/>
      <c r="U11" s="3"/>
      <c r="V11" s="2"/>
      <c r="AB11" s="2"/>
    </row>
    <row r="12" spans="1:35">
      <c r="A12">
        <v>10</v>
      </c>
      <c r="B12">
        <v>200</v>
      </c>
      <c r="C12">
        <v>5</v>
      </c>
      <c r="D12">
        <f>IF(F12&lt;9999,1,0)</f>
        <v>1</v>
      </c>
      <c r="E12">
        <f t="shared" si="1"/>
        <v>0</v>
      </c>
      <c r="F12" s="9">
        <v>468.29500000000002</v>
      </c>
      <c r="G12" s="9">
        <v>100</v>
      </c>
      <c r="H12" s="9">
        <v>1800.42</v>
      </c>
      <c r="O12" s="2"/>
      <c r="U12" s="2"/>
      <c r="AA12" s="2"/>
    </row>
    <row r="13" spans="1:35">
      <c r="A13" s="14" t="s">
        <v>6</v>
      </c>
      <c r="B13" s="14"/>
      <c r="C13" s="14"/>
      <c r="D13" s="8">
        <f>SUM(D8:D12)</f>
        <v>5</v>
      </c>
      <c r="E13" s="4">
        <f>SUM(E8:E12)</f>
        <v>0</v>
      </c>
      <c r="F13" s="10">
        <f>($D8*F8+$D9*F9+$D10*F10+$D11*F11+$D12*F12)/$D13</f>
        <v>473.46480000000003</v>
      </c>
      <c r="G13" s="10">
        <f>($D8*G8+$D9*G9+$D10*G10+$D11*G11+$D12*G12)/$D13</f>
        <v>100</v>
      </c>
      <c r="H13" s="10">
        <f>AVERAGE(H8:H12)</f>
        <v>1800.3720000000001</v>
      </c>
      <c r="N13" s="2"/>
      <c r="S13" s="3"/>
      <c r="T13" s="2"/>
      <c r="Z13" s="2"/>
    </row>
    <row r="14" spans="1:35">
      <c r="A14">
        <v>10</v>
      </c>
      <c r="B14">
        <v>300</v>
      </c>
      <c r="C14">
        <v>1</v>
      </c>
      <c r="D14">
        <f>IF(F14&lt;9999,1,0)</f>
        <v>1</v>
      </c>
      <c r="E14">
        <f>IF(G14&lt;1,1,0)</f>
        <v>0</v>
      </c>
      <c r="F14" s="9">
        <v>581.80600000000004</v>
      </c>
      <c r="G14" s="9">
        <v>100</v>
      </c>
      <c r="H14" s="9">
        <v>1800.53</v>
      </c>
      <c r="M14" s="2"/>
      <c r="R14" s="3"/>
      <c r="S14" s="2"/>
      <c r="Y14" s="2"/>
    </row>
    <row r="15" spans="1:35">
      <c r="A15">
        <v>10</v>
      </c>
      <c r="B15">
        <v>300</v>
      </c>
      <c r="C15">
        <v>2</v>
      </c>
      <c r="D15">
        <f>IF(F15&lt;9999,1,0)</f>
        <v>1</v>
      </c>
      <c r="E15">
        <f t="shared" ref="E15:E18" si="2">IF(G15&lt;1,1,0)</f>
        <v>0</v>
      </c>
      <c r="F15" s="9">
        <v>547.274</v>
      </c>
      <c r="G15" s="9">
        <v>100</v>
      </c>
      <c r="H15" s="9">
        <v>1800.34</v>
      </c>
      <c r="L15" s="2"/>
      <c r="Q15" s="3"/>
      <c r="R15" s="2"/>
      <c r="X15" s="2"/>
    </row>
    <row r="16" spans="1:35">
      <c r="A16">
        <v>10</v>
      </c>
      <c r="B16">
        <v>300</v>
      </c>
      <c r="C16">
        <v>3</v>
      </c>
      <c r="D16">
        <f>IF(F16&lt;9999,1,0)</f>
        <v>1</v>
      </c>
      <c r="E16">
        <f t="shared" si="2"/>
        <v>0</v>
      </c>
      <c r="F16" s="9">
        <v>368.536</v>
      </c>
      <c r="G16" s="9">
        <v>100</v>
      </c>
      <c r="H16" s="9">
        <v>1800.44</v>
      </c>
      <c r="K16" s="2"/>
      <c r="P16" s="3"/>
      <c r="Q16" s="2"/>
      <c r="W16" s="2"/>
    </row>
    <row r="17" spans="1:22">
      <c r="A17">
        <v>10</v>
      </c>
      <c r="B17">
        <v>300</v>
      </c>
      <c r="C17">
        <v>4</v>
      </c>
      <c r="D17">
        <f>IF(F17&lt;9999,1,0)</f>
        <v>1</v>
      </c>
      <c r="E17">
        <f t="shared" si="2"/>
        <v>0</v>
      </c>
      <c r="F17" s="9">
        <v>447.03</v>
      </c>
      <c r="G17" s="9">
        <v>100</v>
      </c>
      <c r="H17" s="9">
        <v>1800.3</v>
      </c>
      <c r="I17" s="2"/>
      <c r="J17" s="2"/>
      <c r="O17" s="3"/>
      <c r="P17" s="2"/>
      <c r="V17" s="2"/>
    </row>
    <row r="18" spans="1:22">
      <c r="A18">
        <v>10</v>
      </c>
      <c r="B18">
        <v>300</v>
      </c>
      <c r="C18">
        <v>5</v>
      </c>
      <c r="D18">
        <f>IF(F18&lt;9999,1,0)</f>
        <v>1</v>
      </c>
      <c r="E18">
        <f t="shared" si="2"/>
        <v>0</v>
      </c>
      <c r="F18" s="9">
        <v>738.53200000000004</v>
      </c>
      <c r="G18" s="9">
        <v>100</v>
      </c>
      <c r="H18" s="9">
        <v>1805.13</v>
      </c>
      <c r="O18" s="2"/>
      <c r="U18" s="2"/>
    </row>
    <row r="19" spans="1:22">
      <c r="A19" s="14" t="s">
        <v>6</v>
      </c>
      <c r="B19" s="14"/>
      <c r="C19" s="14"/>
      <c r="D19" s="8">
        <f>SUM(D14:D18)</f>
        <v>5</v>
      </c>
      <c r="E19" s="4">
        <f>SUM(E14:E18)</f>
        <v>0</v>
      </c>
      <c r="F19" s="10">
        <f>($D14*F14+$D15*F15+$D16*F16+$D17*F17+$D18*F18)/$D19</f>
        <v>536.63559999999995</v>
      </c>
      <c r="G19" s="10">
        <f>($D14*G14+$D15*G15+$D16*G16+$D17*G17+$D18*G18)/$D19</f>
        <v>100</v>
      </c>
      <c r="H19" s="10">
        <f>AVERAGE(H14:H18)</f>
        <v>1801.348</v>
      </c>
      <c r="M19" s="3"/>
      <c r="N19" s="2"/>
      <c r="T19" s="2"/>
    </row>
    <row r="20" spans="1:22">
      <c r="A20">
        <v>10</v>
      </c>
      <c r="B20">
        <v>400</v>
      </c>
      <c r="C20">
        <v>1</v>
      </c>
      <c r="D20">
        <f>IF(F20&lt;9999,1,0)</f>
        <v>1</v>
      </c>
      <c r="E20">
        <f>IF(G20&lt;1,1,0)</f>
        <v>0</v>
      </c>
      <c r="F20" s="9">
        <v>596.31299999999999</v>
      </c>
      <c r="G20" s="9">
        <v>100</v>
      </c>
      <c r="H20" s="9">
        <v>1805.09</v>
      </c>
      <c r="L20" s="3"/>
      <c r="M20" s="2"/>
      <c r="S20" s="2"/>
    </row>
    <row r="21" spans="1:22">
      <c r="A21">
        <v>10</v>
      </c>
      <c r="B21">
        <v>400</v>
      </c>
      <c r="C21">
        <v>2</v>
      </c>
      <c r="D21">
        <f>IF(F21&lt;9999,1,0)</f>
        <v>1</v>
      </c>
      <c r="E21">
        <f t="shared" ref="E21:E24" si="3">IF(G21&lt;1,1,0)</f>
        <v>0</v>
      </c>
      <c r="F21" s="9">
        <v>541.97500000000002</v>
      </c>
      <c r="G21" s="9">
        <v>100</v>
      </c>
      <c r="H21" s="9">
        <v>1800.52</v>
      </c>
      <c r="K21" s="3"/>
      <c r="L21" s="2"/>
      <c r="R21" s="2"/>
    </row>
    <row r="22" spans="1:22">
      <c r="A22">
        <v>10</v>
      </c>
      <c r="B22">
        <v>400</v>
      </c>
      <c r="C22">
        <v>3</v>
      </c>
      <c r="D22">
        <f>IF(F22&lt;9999,1,0)</f>
        <v>1</v>
      </c>
      <c r="E22">
        <f t="shared" si="3"/>
        <v>0</v>
      </c>
      <c r="F22" s="9">
        <v>583.50099999999998</v>
      </c>
      <c r="G22" s="9">
        <v>100</v>
      </c>
      <c r="H22" s="9">
        <v>1800.4</v>
      </c>
      <c r="I22" s="3"/>
      <c r="J22" s="3"/>
      <c r="K22" s="2"/>
      <c r="Q22" s="2"/>
    </row>
    <row r="23" spans="1:22">
      <c r="A23">
        <v>10</v>
      </c>
      <c r="B23">
        <v>400</v>
      </c>
      <c r="C23">
        <v>4</v>
      </c>
      <c r="D23">
        <f>IF(F23&lt;9999,1,0)</f>
        <v>1</v>
      </c>
      <c r="E23">
        <f t="shared" si="3"/>
        <v>0</v>
      </c>
      <c r="F23" s="9">
        <v>480.37</v>
      </c>
      <c r="G23" s="9">
        <v>100</v>
      </c>
      <c r="H23" s="9">
        <v>1800.44</v>
      </c>
      <c r="I23" s="2"/>
      <c r="J23" s="2"/>
      <c r="P23" s="2"/>
    </row>
    <row r="24" spans="1:22">
      <c r="A24">
        <v>10</v>
      </c>
      <c r="B24">
        <v>400</v>
      </c>
      <c r="C24">
        <v>5</v>
      </c>
      <c r="D24">
        <f>IF(F24&lt;9999,1,0)</f>
        <v>1</v>
      </c>
      <c r="E24">
        <f t="shared" si="3"/>
        <v>0</v>
      </c>
      <c r="F24" s="9">
        <v>605.04100000000005</v>
      </c>
      <c r="G24" s="9">
        <v>100</v>
      </c>
      <c r="H24" s="9">
        <v>1803.79</v>
      </c>
      <c r="O24" s="2"/>
    </row>
    <row r="25" spans="1:22">
      <c r="A25" s="14" t="s">
        <v>6</v>
      </c>
      <c r="B25" s="14"/>
      <c r="C25" s="14"/>
      <c r="D25" s="8">
        <f>SUM(D20:D24)</f>
        <v>5</v>
      </c>
      <c r="E25" s="4">
        <f>SUM(E20:E24)</f>
        <v>0</v>
      </c>
      <c r="F25" s="10">
        <f>($D20*F20+$D21*F21+$D22*F22+$D23*F23+$D24*F24)/$D25</f>
        <v>561.44000000000005</v>
      </c>
      <c r="G25" s="10">
        <f>($D20*G20+$D21*G21+$D22*G22+$D23*G23+$D24*G24)/$D25</f>
        <v>100</v>
      </c>
      <c r="H25" s="10">
        <f>AVERAGE(H20:H24)</f>
        <v>1802.0480000000002</v>
      </c>
      <c r="N25" s="2"/>
    </row>
    <row r="26" spans="1:22">
      <c r="A26">
        <v>10</v>
      </c>
      <c r="B26">
        <v>500</v>
      </c>
      <c r="C26">
        <v>1</v>
      </c>
      <c r="D26">
        <f>IF(F26&lt;9999,1,0)</f>
        <v>1</v>
      </c>
      <c r="E26">
        <f>IF(G26&lt;1,1,0)</f>
        <v>0</v>
      </c>
      <c r="F26" s="9">
        <v>457.29199999999997</v>
      </c>
      <c r="G26" s="9">
        <v>100</v>
      </c>
      <c r="H26" s="9">
        <v>1800.51</v>
      </c>
      <c r="M26" s="2"/>
    </row>
    <row r="27" spans="1:22">
      <c r="A27">
        <v>10</v>
      </c>
      <c r="B27">
        <v>500</v>
      </c>
      <c r="C27">
        <v>2</v>
      </c>
      <c r="D27">
        <f>IF(F27&lt;9999,1,0)</f>
        <v>1</v>
      </c>
      <c r="E27">
        <f t="shared" ref="E27:E30" si="4">IF(G27&lt;1,1,0)</f>
        <v>0</v>
      </c>
      <c r="F27" s="9">
        <v>703.548</v>
      </c>
      <c r="G27" s="9">
        <v>100</v>
      </c>
      <c r="H27" s="9">
        <v>1801.16</v>
      </c>
      <c r="L27" s="2"/>
    </row>
    <row r="28" spans="1:22">
      <c r="A28">
        <v>10</v>
      </c>
      <c r="B28">
        <v>500</v>
      </c>
      <c r="C28">
        <v>3</v>
      </c>
      <c r="D28">
        <f>IF(F28&lt;9999,1,0)</f>
        <v>1</v>
      </c>
      <c r="E28">
        <f t="shared" si="4"/>
        <v>0</v>
      </c>
      <c r="F28" s="9">
        <v>487.35</v>
      </c>
      <c r="G28" s="9">
        <v>100</v>
      </c>
      <c r="H28" s="9">
        <v>1801.35</v>
      </c>
      <c r="K28" s="2"/>
    </row>
    <row r="29" spans="1:22">
      <c r="A29">
        <v>10</v>
      </c>
      <c r="B29">
        <v>500</v>
      </c>
      <c r="C29">
        <v>4</v>
      </c>
      <c r="D29">
        <f>IF(F29&lt;9999,1,0)</f>
        <v>1</v>
      </c>
      <c r="E29">
        <f t="shared" si="4"/>
        <v>0</v>
      </c>
      <c r="F29" s="9">
        <v>353.06099999999998</v>
      </c>
      <c r="G29" s="9">
        <v>100</v>
      </c>
      <c r="H29" s="9">
        <v>1805.18</v>
      </c>
      <c r="I29" s="2"/>
      <c r="J29" s="2"/>
    </row>
    <row r="30" spans="1:22">
      <c r="A30">
        <v>10</v>
      </c>
      <c r="B30">
        <v>500</v>
      </c>
      <c r="C30">
        <v>5</v>
      </c>
      <c r="D30">
        <f>IF(F30&lt;9999,1,0)</f>
        <v>1</v>
      </c>
      <c r="E30">
        <f t="shared" si="4"/>
        <v>0</v>
      </c>
      <c r="F30" s="9">
        <v>497.71800000000002</v>
      </c>
      <c r="G30" s="9">
        <v>100</v>
      </c>
      <c r="H30" s="9">
        <v>1800.58</v>
      </c>
    </row>
    <row r="31" spans="1:22">
      <c r="A31" s="14" t="s">
        <v>6</v>
      </c>
      <c r="B31" s="14"/>
      <c r="C31" s="14"/>
      <c r="D31" s="8">
        <f>SUM(D26:D30)</f>
        <v>5</v>
      </c>
      <c r="E31" s="4">
        <f>SUM(E26:E30)</f>
        <v>0</v>
      </c>
      <c r="F31" s="10">
        <f>($D26*F26+$D27*F27+$D28*F28+$D29*F29+$D30*F30)/$D31</f>
        <v>499.79380000000003</v>
      </c>
      <c r="G31" s="10">
        <f>($D26*G26+$D27*G27+$D28*G28+$D29*G29+$D30*G30)/$D31</f>
        <v>100</v>
      </c>
      <c r="H31" s="10">
        <f>AVERAGE(H26:H30)</f>
        <v>1801.7560000000001</v>
      </c>
    </row>
    <row r="33" spans="1:8">
      <c r="A33" s="13" t="s">
        <v>8</v>
      </c>
      <c r="B33" s="13"/>
      <c r="C33" s="13"/>
      <c r="D33" s="2">
        <f>SUM(D7,D13,D19,D25,D31)</f>
        <v>25</v>
      </c>
      <c r="E33" s="2">
        <f>SUM(E7,E13,E19,E25,E31)</f>
        <v>0</v>
      </c>
      <c r="F33" s="11">
        <f>(F7*$D7+F13*$D13+F19*$D19+F25*$D25+F31*$D31)/($D7+$D13+$D19+$D25+$D31)</f>
        <v>517.07820000000004</v>
      </c>
      <c r="G33" s="11">
        <f>(G7*$D7+G13*$D13+G19*$D19+G25*$D25+G31*$D31)/($D7+$D13+$D19+$D25+$D31)</f>
        <v>100</v>
      </c>
      <c r="H33" s="11">
        <f>AVERAGE(H7,H13,H19,H25,H31)</f>
        <v>1801.5472000000002</v>
      </c>
    </row>
    <row r="35" spans="1:8">
      <c r="A35" s="15" t="s">
        <v>9</v>
      </c>
      <c r="B35" s="15"/>
      <c r="C35" s="15"/>
      <c r="D35" s="7">
        <f>SUM('B2'!D33,'B4'!D33,'B6'!D33,'B8'!D33,'B10'!D33)</f>
        <v>125</v>
      </c>
      <c r="E35" s="7">
        <f>SUM('B2'!E33,'B4'!E33,'B6'!E33,'B8'!E33,'B10'!E33)</f>
        <v>65</v>
      </c>
      <c r="F35" s="12">
        <f>AVERAGE('B2'!F33,'B4'!F33,'B6'!F33,'B8'!F33,'B10'!F33)</f>
        <v>316.11092719999999</v>
      </c>
      <c r="G35" s="12">
        <f>AVERAGE('B2'!G33,'B4'!G33,'B6'!G33,'B8'!G33,'B10'!G33)</f>
        <v>44.401486536000007</v>
      </c>
      <c r="H35" s="12">
        <f>AVERAGE('B2'!H33,'B4'!H33,'B6'!H33,'B8'!H33,'B10'!H33)</f>
        <v>895.84665430400003</v>
      </c>
    </row>
    <row r="55" spans="9:9">
      <c r="I55">
        <v>416.11599999999999</v>
      </c>
    </row>
  </sheetData>
  <mergeCells count="7">
    <mergeCell ref="A33:C33"/>
    <mergeCell ref="A35:C35"/>
    <mergeCell ref="A7:C7"/>
    <mergeCell ref="A13:C13"/>
    <mergeCell ref="A19:C19"/>
    <mergeCell ref="A25:C25"/>
    <mergeCell ref="A31:C3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B2</vt:lpstr>
      <vt:lpstr>B4</vt:lpstr>
      <vt:lpstr>B6</vt:lpstr>
      <vt:lpstr>B8</vt:lpstr>
      <vt:lpstr>B10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WU, Lingxiao Leo [AAE]</dc:creator>
  <cp:lastModifiedBy>WU, Lingxiao Leo [AAE]</cp:lastModifiedBy>
  <dcterms:created xsi:type="dcterms:W3CDTF">2015-06-05T18:17:20Z</dcterms:created>
  <dcterms:modified xsi:type="dcterms:W3CDTF">2026-04-25T08:15:41Z</dcterms:modified>
</cp:coreProperties>
</file>