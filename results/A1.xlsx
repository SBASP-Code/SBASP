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BASP\Results\Newdominance\"/>
    </mc:Choice>
  </mc:AlternateContent>
  <xr:revisionPtr revIDLastSave="0" documentId="13_ncr:1_{C97EF1D3-88D6-42C6-ACAD-5529FAE40AAE}" xr6:coauthVersionLast="36" xr6:coauthVersionMax="47" xr10:uidLastSave="{00000000-0000-0000-0000-000000000000}"/>
  <bookViews>
    <workbookView xWindow="9915" yWindow="1125" windowWidth="17070" windowHeight="11895" activeTab="4" xr2:uid="{00000000-000D-0000-FFFF-FFFF00000000}"/>
  </bookViews>
  <sheets>
    <sheet name="B2" sheetId="1" r:id="rId1"/>
    <sheet name="B4" sheetId="2" r:id="rId2"/>
    <sheet name="B6" sheetId="3" r:id="rId3"/>
    <sheet name="B8" sheetId="4" r:id="rId4"/>
    <sheet name="B1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5" l="1"/>
  <c r="G25" i="5"/>
  <c r="F25" i="5"/>
  <c r="H19" i="5"/>
  <c r="G19" i="5"/>
  <c r="F19" i="5"/>
  <c r="H13" i="5"/>
  <c r="G13" i="5"/>
  <c r="F13" i="5"/>
  <c r="H7" i="5"/>
  <c r="G7" i="5"/>
  <c r="F7" i="5"/>
  <c r="H25" i="4"/>
  <c r="G25" i="4"/>
  <c r="F25" i="4"/>
  <c r="H19" i="4"/>
  <c r="G19" i="4"/>
  <c r="F19" i="4"/>
  <c r="H13" i="4"/>
  <c r="G13" i="4"/>
  <c r="F13" i="4"/>
  <c r="H7" i="4"/>
  <c r="G7" i="4"/>
  <c r="F7" i="4"/>
  <c r="H25" i="3"/>
  <c r="G25" i="3"/>
  <c r="F25" i="3"/>
  <c r="H19" i="3"/>
  <c r="G19" i="3"/>
  <c r="F19" i="3"/>
  <c r="H13" i="3"/>
  <c r="G13" i="3"/>
  <c r="F13" i="3"/>
  <c r="H7" i="3"/>
  <c r="G7" i="3"/>
  <c r="F7" i="3"/>
  <c r="H25" i="2"/>
  <c r="G25" i="2"/>
  <c r="F25" i="2"/>
  <c r="H19" i="2"/>
  <c r="G19" i="2"/>
  <c r="F19" i="2"/>
  <c r="H13" i="2"/>
  <c r="G13" i="2"/>
  <c r="F13" i="2"/>
  <c r="H7" i="2"/>
  <c r="G7" i="2"/>
  <c r="F7" i="2"/>
  <c r="H25" i="1"/>
  <c r="G25" i="1"/>
  <c r="F25" i="1"/>
  <c r="H19" i="1"/>
  <c r="G19" i="1"/>
  <c r="F19" i="1"/>
  <c r="H13" i="1"/>
  <c r="G13" i="1"/>
  <c r="F13" i="1"/>
  <c r="H7" i="1"/>
  <c r="G7" i="1"/>
  <c r="F7" i="1"/>
  <c r="H31" i="5" l="1"/>
  <c r="H31" i="4"/>
  <c r="H33" i="4" s="1"/>
  <c r="H31" i="3"/>
  <c r="H31" i="2"/>
  <c r="H31" i="1"/>
  <c r="H33" i="5" l="1"/>
  <c r="H33" i="3"/>
  <c r="H33" i="2"/>
  <c r="H33" i="1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2" i="1"/>
  <c r="D11" i="1"/>
  <c r="D10" i="1"/>
  <c r="D9" i="1"/>
  <c r="D8" i="1"/>
  <c r="D6" i="1"/>
  <c r="D5" i="1"/>
  <c r="D4" i="1"/>
  <c r="D3" i="1"/>
  <c r="D2" i="1"/>
  <c r="D30" i="2"/>
  <c r="D29" i="2"/>
  <c r="D28" i="2"/>
  <c r="D27" i="2"/>
  <c r="D26" i="2"/>
  <c r="D24" i="2"/>
  <c r="D23" i="2"/>
  <c r="D22" i="2"/>
  <c r="D21" i="2"/>
  <c r="D20" i="2"/>
  <c r="D18" i="2"/>
  <c r="D17" i="2"/>
  <c r="D16" i="2"/>
  <c r="D15" i="2"/>
  <c r="D14" i="2"/>
  <c r="D12" i="2"/>
  <c r="D11" i="2"/>
  <c r="D10" i="2"/>
  <c r="D9" i="2"/>
  <c r="D8" i="2"/>
  <c r="D6" i="2"/>
  <c r="D5" i="2"/>
  <c r="D4" i="2"/>
  <c r="D3" i="2"/>
  <c r="D2" i="2"/>
  <c r="D30" i="3"/>
  <c r="D29" i="3"/>
  <c r="D28" i="3"/>
  <c r="D27" i="3"/>
  <c r="D26" i="3"/>
  <c r="D24" i="3"/>
  <c r="D23" i="3"/>
  <c r="D22" i="3"/>
  <c r="D21" i="3"/>
  <c r="D20" i="3"/>
  <c r="D18" i="3"/>
  <c r="D17" i="3"/>
  <c r="D16" i="3"/>
  <c r="D15" i="3"/>
  <c r="D14" i="3"/>
  <c r="D12" i="3"/>
  <c r="D11" i="3"/>
  <c r="D10" i="3"/>
  <c r="D9" i="3"/>
  <c r="D8" i="3"/>
  <c r="D6" i="3"/>
  <c r="D5" i="3"/>
  <c r="D4" i="3"/>
  <c r="D3" i="3"/>
  <c r="D2" i="3"/>
  <c r="D30" i="4"/>
  <c r="D29" i="4"/>
  <c r="D28" i="4"/>
  <c r="D27" i="4"/>
  <c r="D26" i="4"/>
  <c r="D24" i="4"/>
  <c r="D23" i="4"/>
  <c r="D22" i="4"/>
  <c r="D21" i="4"/>
  <c r="D20" i="4"/>
  <c r="D18" i="4"/>
  <c r="D17" i="4"/>
  <c r="D16" i="4"/>
  <c r="D15" i="4"/>
  <c r="D14" i="4"/>
  <c r="D12" i="4"/>
  <c r="D11" i="4"/>
  <c r="D10" i="4"/>
  <c r="D9" i="4"/>
  <c r="D8" i="4"/>
  <c r="D6" i="4"/>
  <c r="D5" i="4"/>
  <c r="D4" i="4"/>
  <c r="D3" i="4"/>
  <c r="D2" i="4"/>
  <c r="D30" i="5"/>
  <c r="D29" i="5"/>
  <c r="D28" i="5"/>
  <c r="D27" i="5"/>
  <c r="D26" i="5"/>
  <c r="D24" i="5"/>
  <c r="D23" i="5"/>
  <c r="D22" i="5"/>
  <c r="D21" i="5"/>
  <c r="D20" i="5"/>
  <c r="D18" i="5"/>
  <c r="D17" i="5"/>
  <c r="D16" i="5"/>
  <c r="D15" i="5"/>
  <c r="D14" i="5"/>
  <c r="D12" i="5"/>
  <c r="D11" i="5"/>
  <c r="D10" i="5"/>
  <c r="D9" i="5"/>
  <c r="D8" i="5"/>
  <c r="D6" i="5"/>
  <c r="D5" i="5"/>
  <c r="D4" i="5"/>
  <c r="D3" i="5"/>
  <c r="D2" i="5"/>
  <c r="D31" i="3" l="1"/>
  <c r="F31" i="3"/>
  <c r="G31" i="3"/>
  <c r="D13" i="5"/>
  <c r="D25" i="4"/>
  <c r="D7" i="4"/>
  <c r="D33" i="4" s="1"/>
  <c r="D13" i="3"/>
  <c r="D25" i="2"/>
  <c r="D25" i="1"/>
  <c r="D19" i="1"/>
  <c r="D7" i="1"/>
  <c r="D31" i="5"/>
  <c r="G31" i="5" s="1"/>
  <c r="D19" i="5"/>
  <c r="D7" i="5"/>
  <c r="D25" i="5"/>
  <c r="D13" i="4"/>
  <c r="D19" i="4"/>
  <c r="D31" i="4"/>
  <c r="G31" i="4" s="1"/>
  <c r="D7" i="3"/>
  <c r="D19" i="3"/>
  <c r="D25" i="3"/>
  <c r="D13" i="2"/>
  <c r="D7" i="2"/>
  <c r="D19" i="2"/>
  <c r="D31" i="2"/>
  <c r="G31" i="2" s="1"/>
  <c r="D31" i="1"/>
  <c r="G31" i="1" s="1"/>
  <c r="D13" i="1"/>
  <c r="E30" i="5"/>
  <c r="E29" i="5"/>
  <c r="E28" i="5"/>
  <c r="E27" i="5"/>
  <c r="E26" i="5"/>
  <c r="E24" i="5"/>
  <c r="E23" i="5"/>
  <c r="E22" i="5"/>
  <c r="E21" i="5"/>
  <c r="E20" i="5"/>
  <c r="E18" i="5"/>
  <c r="E17" i="5"/>
  <c r="E16" i="5"/>
  <c r="E15" i="5"/>
  <c r="E14" i="5"/>
  <c r="E12" i="5"/>
  <c r="E11" i="5"/>
  <c r="E10" i="5"/>
  <c r="E9" i="5"/>
  <c r="E8" i="5"/>
  <c r="E6" i="5"/>
  <c r="E5" i="5"/>
  <c r="E4" i="5"/>
  <c r="E3" i="5"/>
  <c r="E2" i="5"/>
  <c r="E30" i="4"/>
  <c r="E29" i="4"/>
  <c r="E28" i="4"/>
  <c r="E27" i="4"/>
  <c r="E26" i="4"/>
  <c r="E24" i="4"/>
  <c r="E23" i="4"/>
  <c r="E22" i="4"/>
  <c r="E21" i="4"/>
  <c r="E20" i="4"/>
  <c r="E18" i="4"/>
  <c r="E17" i="4"/>
  <c r="E16" i="4"/>
  <c r="E15" i="4"/>
  <c r="E14" i="4"/>
  <c r="E12" i="4"/>
  <c r="E11" i="4"/>
  <c r="E10" i="4"/>
  <c r="E9" i="4"/>
  <c r="E8" i="4"/>
  <c r="E6" i="4"/>
  <c r="E5" i="4"/>
  <c r="E4" i="4"/>
  <c r="E3" i="4"/>
  <c r="E2" i="4"/>
  <c r="E30" i="3"/>
  <c r="E29" i="3"/>
  <c r="E28" i="3"/>
  <c r="E27" i="3"/>
  <c r="E26" i="3"/>
  <c r="E24" i="3"/>
  <c r="E23" i="3"/>
  <c r="E22" i="3"/>
  <c r="E21" i="3"/>
  <c r="E20" i="3"/>
  <c r="E18" i="3"/>
  <c r="E17" i="3"/>
  <c r="E16" i="3"/>
  <c r="E15" i="3"/>
  <c r="E14" i="3"/>
  <c r="E19" i="3" s="1"/>
  <c r="E12" i="3"/>
  <c r="E11" i="3"/>
  <c r="E10" i="3"/>
  <c r="E9" i="3"/>
  <c r="E8" i="3"/>
  <c r="E6" i="3"/>
  <c r="E5" i="3"/>
  <c r="E4" i="3"/>
  <c r="E3" i="3"/>
  <c r="E2" i="3"/>
  <c r="E30" i="2"/>
  <c r="E29" i="2"/>
  <c r="E28" i="2"/>
  <c r="E27" i="2"/>
  <c r="E26" i="2"/>
  <c r="E24" i="2"/>
  <c r="E23" i="2"/>
  <c r="E22" i="2"/>
  <c r="E21" i="2"/>
  <c r="E20" i="2"/>
  <c r="E18" i="2"/>
  <c r="E17" i="2"/>
  <c r="E16" i="2"/>
  <c r="E15" i="2"/>
  <c r="E14" i="2"/>
  <c r="E12" i="2"/>
  <c r="E11" i="2"/>
  <c r="E10" i="2"/>
  <c r="E9" i="2"/>
  <c r="E8" i="2"/>
  <c r="E6" i="2"/>
  <c r="E5" i="2"/>
  <c r="E4" i="2"/>
  <c r="E3" i="2"/>
  <c r="E2" i="2"/>
  <c r="E30" i="1"/>
  <c r="E29" i="1"/>
  <c r="E28" i="1"/>
  <c r="E27" i="1"/>
  <c r="E26" i="1"/>
  <c r="E24" i="1"/>
  <c r="E23" i="1"/>
  <c r="E22" i="1"/>
  <c r="E21" i="1"/>
  <c r="E20" i="1"/>
  <c r="E18" i="1"/>
  <c r="E17" i="1"/>
  <c r="E16" i="1"/>
  <c r="E15" i="1"/>
  <c r="E14" i="1"/>
  <c r="E12" i="1"/>
  <c r="E11" i="1"/>
  <c r="E10" i="1"/>
  <c r="E9" i="1"/>
  <c r="E8" i="1"/>
  <c r="E6" i="1"/>
  <c r="E5" i="1"/>
  <c r="E4" i="1"/>
  <c r="E3" i="1"/>
  <c r="E2" i="1"/>
  <c r="F31" i="1" l="1"/>
  <c r="E7" i="1"/>
  <c r="D33" i="5"/>
  <c r="F31" i="5"/>
  <c r="G33" i="5"/>
  <c r="F33" i="5"/>
  <c r="G33" i="4"/>
  <c r="F31" i="4"/>
  <c r="F33" i="3"/>
  <c r="D33" i="3"/>
  <c r="G33" i="3"/>
  <c r="E31" i="3"/>
  <c r="D33" i="2"/>
  <c r="F31" i="2"/>
  <c r="E19" i="2"/>
  <c r="F33" i="2"/>
  <c r="G33" i="1"/>
  <c r="D33" i="1"/>
  <c r="E19" i="5"/>
  <c r="E7" i="3"/>
  <c r="E7" i="5"/>
  <c r="E31" i="4"/>
  <c r="E31" i="5"/>
  <c r="E25" i="4"/>
  <c r="E13" i="4"/>
  <c r="E7" i="2"/>
  <c r="E25" i="2"/>
  <c r="E19" i="4"/>
  <c r="E7" i="4"/>
  <c r="E33" i="4" s="1"/>
  <c r="E25" i="3"/>
  <c r="E13" i="3"/>
  <c r="E13" i="2"/>
  <c r="E31" i="2"/>
  <c r="E25" i="1"/>
  <c r="E13" i="1"/>
  <c r="E31" i="1"/>
  <c r="E19" i="1"/>
  <c r="E25" i="5"/>
  <c r="E13" i="5"/>
  <c r="E33" i="5" l="1"/>
  <c r="F33" i="1"/>
  <c r="E33" i="1"/>
  <c r="F33" i="4"/>
  <c r="E33" i="3"/>
  <c r="G33" i="2"/>
  <c r="E33" i="2"/>
  <c r="D35" i="5"/>
  <c r="H35" i="5"/>
  <c r="F35" i="5" l="1"/>
  <c r="G35" i="5"/>
  <c r="E35" i="5"/>
</calcChain>
</file>

<file path=xl/sharedStrings.xml><?xml version="1.0" encoding="utf-8"?>
<sst xmlns="http://schemas.openxmlformats.org/spreadsheetml/2006/main" count="71" uniqueCount="11">
  <si>
    <t>B</t>
  </si>
  <si>
    <t>S</t>
  </si>
  <si>
    <t>C</t>
  </si>
  <si>
    <t>Gap</t>
  </si>
  <si>
    <t>Time</t>
  </si>
  <si>
    <t>Obj</t>
  </si>
  <si>
    <t>Average</t>
  </si>
  <si>
    <t>Opt</t>
    <phoneticPr fontId="3" type="noConversion"/>
  </si>
  <si>
    <t>Total</t>
    <phoneticPr fontId="3" type="noConversion"/>
  </si>
  <si>
    <t>Summary</t>
    <phoneticPr fontId="3" type="noConversion"/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</si>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</sst>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"/>
    <numFmt numFmtId="166" formatCode="0.0;[Red]0.0"/>
  </numFmts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NumberFormat="1"/>
    <xf numFmtId="165" fontId="2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zoomScale="175" zoomScaleNormal="175" workbookViewId="0">
      <selection activeCell="F7" sqref="F7:H7"/>
    </sheetView>
  </sheetViews>
  <sheetFormatPr defaultRowHeight="15"/>
  <cols>
    <col min="6" max="6" width="9.42578125" customWidth="1"/>
    <col min="7" max="7" width="8.85546875" style="6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5" t="s">
        <v>3</v>
      </c>
      <c r="H1" s="1" t="s">
        <v>4</v>
      </c>
    </row>
    <row r="2" spans="1:36">
      <c r="A2">
        <v>2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46.237000000000002</v>
      </c>
      <c r="G2" s="9">
        <v>0</v>
      </c>
      <c r="H2" s="9">
        <v>6.7896999999999999E-2</v>
      </c>
      <c r="K2" s="9"/>
      <c r="L2" s="9"/>
      <c r="M2" s="9"/>
      <c r="N2" s="2"/>
      <c r="T2" s="2"/>
      <c r="Z2" s="2"/>
      <c r="AE2" s="3"/>
      <c r="AF2" s="2"/>
    </row>
    <row r="3" spans="1:36">
      <c r="A3">
        <v>2</v>
      </c>
      <c r="B3">
        <v>100</v>
      </c>
      <c r="C3">
        <v>2</v>
      </c>
      <c r="D3">
        <f>IF(F3&lt;9999,1,0)</f>
        <v>1</v>
      </c>
      <c r="E3">
        <f>IF(G3&lt;1,1,0)</f>
        <v>1</v>
      </c>
      <c r="F3" s="9">
        <v>415.92200000000003</v>
      </c>
      <c r="G3" s="9">
        <v>0</v>
      </c>
      <c r="H3" s="9">
        <v>0.11185100000000001</v>
      </c>
      <c r="K3" s="9"/>
      <c r="L3" s="9"/>
      <c r="M3" s="9"/>
      <c r="S3" s="2"/>
      <c r="Y3" s="2"/>
      <c r="AD3" s="3"/>
      <c r="AE3" s="2"/>
    </row>
    <row r="4" spans="1:36">
      <c r="A4">
        <v>2</v>
      </c>
      <c r="B4">
        <v>100</v>
      </c>
      <c r="C4">
        <v>3</v>
      </c>
      <c r="D4">
        <f>IF(F4&lt;9999,1,0)</f>
        <v>1</v>
      </c>
      <c r="E4">
        <f>IF(G4&lt;1,1,0)</f>
        <v>1</v>
      </c>
      <c r="F4" s="9">
        <v>120.123</v>
      </c>
      <c r="G4" s="9">
        <v>0.77895499999999995</v>
      </c>
      <c r="H4" s="9">
        <v>0.14313000000000001</v>
      </c>
      <c r="K4" s="9"/>
      <c r="L4" s="9"/>
      <c r="M4" s="9"/>
      <c r="R4" s="2"/>
      <c r="X4" s="2"/>
      <c r="AC4" s="3"/>
      <c r="AD4" s="2"/>
      <c r="AJ4" s="2"/>
    </row>
    <row r="5" spans="1:36">
      <c r="A5">
        <v>2</v>
      </c>
      <c r="B5">
        <v>100</v>
      </c>
      <c r="C5">
        <v>4</v>
      </c>
      <c r="D5">
        <f>IF(F5&lt;9999,1,0)</f>
        <v>1</v>
      </c>
      <c r="E5">
        <f>IF(G5&lt;1,1,0)</f>
        <v>1</v>
      </c>
      <c r="F5" s="9">
        <v>78.393299999999996</v>
      </c>
      <c r="G5" s="9">
        <v>0</v>
      </c>
      <c r="H5" s="9">
        <v>5.4644999999999999E-2</v>
      </c>
      <c r="K5" s="9"/>
      <c r="L5" s="9"/>
      <c r="M5" s="9"/>
      <c r="Q5" s="2"/>
      <c r="W5" s="2"/>
      <c r="AB5" s="3"/>
      <c r="AC5" s="2"/>
      <c r="AI5" s="2"/>
    </row>
    <row r="6" spans="1:36">
      <c r="A6">
        <v>2</v>
      </c>
      <c r="B6">
        <v>100</v>
      </c>
      <c r="C6">
        <v>5</v>
      </c>
      <c r="D6">
        <f>IF(F6&lt;9999,1,0)</f>
        <v>1</v>
      </c>
      <c r="E6">
        <f>IF(G6&lt;1,1,0)</f>
        <v>1</v>
      </c>
      <c r="F6" s="9">
        <v>152.57900000000001</v>
      </c>
      <c r="G6" s="9">
        <v>0</v>
      </c>
      <c r="H6" s="9">
        <v>0.14523</v>
      </c>
      <c r="I6" s="2"/>
      <c r="J6" s="2"/>
      <c r="K6" s="9"/>
      <c r="L6" s="9"/>
      <c r="M6" s="9"/>
      <c r="P6" s="2"/>
      <c r="V6" s="2"/>
      <c r="AA6" s="3"/>
      <c r="AB6" s="2"/>
      <c r="AH6" s="2"/>
    </row>
    <row r="7" spans="1:36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162.65086000000002</v>
      </c>
      <c r="G7" s="10">
        <f>($D2*G2+$D3*G3+$D4*G4+$D5*G5+$D6*G6)/$D7</f>
        <v>0.15579099999999999</v>
      </c>
      <c r="H7" s="10">
        <f>AVERAGE(H2:H6)</f>
        <v>0.10455060000000001</v>
      </c>
      <c r="I7"/>
      <c r="J7"/>
      <c r="K7" s="9"/>
      <c r="L7" s="9"/>
      <c r="M7" s="9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6">
      <c r="A8">
        <v>2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58.217199999999998</v>
      </c>
      <c r="G8" s="9">
        <v>0</v>
      </c>
      <c r="H8" s="9">
        <v>0.151333</v>
      </c>
      <c r="K8" s="9"/>
      <c r="L8" s="9"/>
      <c r="M8" s="9"/>
      <c r="N8" s="2"/>
      <c r="T8" s="2"/>
      <c r="Y8" s="3"/>
      <c r="Z8" s="2"/>
      <c r="AF8" s="2"/>
    </row>
    <row r="9" spans="1:36">
      <c r="A9">
        <v>2</v>
      </c>
      <c r="B9">
        <v>200</v>
      </c>
      <c r="C9">
        <v>2</v>
      </c>
      <c r="D9">
        <f>IF(F9&lt;9999,1,0)</f>
        <v>1</v>
      </c>
      <c r="E9">
        <f>IF(G9&lt;1,1,0)</f>
        <v>1</v>
      </c>
      <c r="F9" s="9">
        <v>206.28299999999999</v>
      </c>
      <c r="G9" s="9">
        <v>0</v>
      </c>
      <c r="H9" s="9">
        <v>0.156446</v>
      </c>
      <c r="K9" s="9"/>
      <c r="L9" s="9"/>
      <c r="M9" s="9"/>
      <c r="S9" s="2"/>
      <c r="X9" s="3"/>
      <c r="Y9" s="2"/>
      <c r="AE9" s="2"/>
    </row>
    <row r="10" spans="1:36">
      <c r="A10">
        <v>2</v>
      </c>
      <c r="B10">
        <v>200</v>
      </c>
      <c r="C10">
        <v>3</v>
      </c>
      <c r="D10">
        <f>IF(F10&lt;9999,1,0)</f>
        <v>1</v>
      </c>
      <c r="E10">
        <f>IF(G10&lt;1,1,0)</f>
        <v>1</v>
      </c>
      <c r="F10" s="9">
        <v>98.631100000000004</v>
      </c>
      <c r="G10" s="9">
        <v>0</v>
      </c>
      <c r="H10" s="9">
        <v>0.12693299999999999</v>
      </c>
      <c r="K10" s="9"/>
      <c r="L10" s="9"/>
      <c r="M10" s="9"/>
      <c r="R10" s="2"/>
      <c r="W10" s="3"/>
      <c r="X10" s="2"/>
      <c r="AD10" s="2"/>
    </row>
    <row r="11" spans="1:36">
      <c r="A11">
        <v>2</v>
      </c>
      <c r="B11">
        <v>200</v>
      </c>
      <c r="C11">
        <v>4</v>
      </c>
      <c r="D11">
        <f>IF(F11&lt;9999,1,0)</f>
        <v>1</v>
      </c>
      <c r="E11">
        <f>IF(G11&lt;1,1,0)</f>
        <v>1</v>
      </c>
      <c r="F11" s="9">
        <v>109.211</v>
      </c>
      <c r="G11" s="9">
        <v>0.657196</v>
      </c>
      <c r="H11" s="9">
        <v>0.33696999999999999</v>
      </c>
      <c r="K11" s="9"/>
      <c r="L11" s="9"/>
      <c r="M11" s="9"/>
      <c r="Q11" s="2"/>
      <c r="V11" s="3"/>
      <c r="W11" s="2"/>
      <c r="AC11" s="2"/>
    </row>
    <row r="12" spans="1:36">
      <c r="A12">
        <v>2</v>
      </c>
      <c r="B12">
        <v>200</v>
      </c>
      <c r="C12">
        <v>5</v>
      </c>
      <c r="D12">
        <f>IF(F12&lt;9999,1,0)</f>
        <v>1</v>
      </c>
      <c r="E12">
        <f>IF(G12&lt;1,1,0)</f>
        <v>1</v>
      </c>
      <c r="F12" s="9">
        <v>85.647999999999996</v>
      </c>
      <c r="G12" s="9">
        <v>0.38555499999999998</v>
      </c>
      <c r="H12" s="9">
        <v>0.15964100000000001</v>
      </c>
      <c r="I12" s="2"/>
      <c r="J12" s="2"/>
      <c r="K12" s="9"/>
      <c r="L12" s="9"/>
      <c r="M12" s="9"/>
      <c r="P12" s="2"/>
      <c r="U12" s="3"/>
      <c r="V12" s="2"/>
      <c r="AB12" s="2"/>
    </row>
    <row r="13" spans="1:36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111.59806</v>
      </c>
      <c r="G13" s="10">
        <f>($D8*G8+$D9*G9+$D10*G10+$D11*G11+$D12*G12)/$D13</f>
        <v>0.20855019999999999</v>
      </c>
      <c r="H13" s="10">
        <f>AVERAGE(H8:H12)</f>
        <v>0.1862646</v>
      </c>
      <c r="I13"/>
      <c r="J13"/>
      <c r="K13" s="9"/>
      <c r="L13" s="9"/>
      <c r="M13" s="9"/>
      <c r="N13"/>
      <c r="P13"/>
      <c r="Q13"/>
      <c r="R13"/>
      <c r="S13"/>
      <c r="T13"/>
      <c r="V13"/>
      <c r="W13"/>
      <c r="X13"/>
      <c r="Y13"/>
      <c r="Z13"/>
      <c r="AB13"/>
      <c r="AC13"/>
      <c r="AD13"/>
      <c r="AE13"/>
      <c r="AF13"/>
      <c r="AG13"/>
      <c r="AH13"/>
      <c r="AI13"/>
    </row>
    <row r="14" spans="1:36">
      <c r="A14">
        <v>2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44.073799999999999</v>
      </c>
      <c r="G14" s="9">
        <v>0</v>
      </c>
      <c r="H14" s="9">
        <v>0.37914399999999998</v>
      </c>
      <c r="K14" s="9"/>
      <c r="L14" s="9"/>
      <c r="M14" s="9"/>
      <c r="N14" s="2"/>
      <c r="S14" s="3"/>
      <c r="T14" s="2"/>
      <c r="Z14" s="2"/>
    </row>
    <row r="15" spans="1:36">
      <c r="A15">
        <v>2</v>
      </c>
      <c r="B15">
        <v>300</v>
      </c>
      <c r="C15">
        <v>2</v>
      </c>
      <c r="D15">
        <f>IF(F15&lt;9999,1,0)</f>
        <v>1</v>
      </c>
      <c r="E15">
        <f>IF(G15&lt;1,1,0)</f>
        <v>1</v>
      </c>
      <c r="F15" s="9">
        <v>109.751</v>
      </c>
      <c r="G15" s="9">
        <v>0.26875300000000002</v>
      </c>
      <c r="H15" s="9">
        <v>0.45656200000000002</v>
      </c>
      <c r="K15" s="9"/>
      <c r="L15" s="9"/>
      <c r="M15" s="9"/>
      <c r="R15" s="3"/>
      <c r="S15" s="2"/>
      <c r="Y15" s="2"/>
    </row>
    <row r="16" spans="1:36">
      <c r="A16">
        <v>2</v>
      </c>
      <c r="B16">
        <v>300</v>
      </c>
      <c r="C16">
        <v>3</v>
      </c>
      <c r="D16">
        <f>IF(F16&lt;9999,1,0)</f>
        <v>1</v>
      </c>
      <c r="E16">
        <f>IF(G16&lt;1,1,0)</f>
        <v>1</v>
      </c>
      <c r="F16" s="9">
        <v>125.71899999999999</v>
      </c>
      <c r="G16" s="9">
        <v>0.87109999999999999</v>
      </c>
      <c r="H16" s="9">
        <v>0.39204800000000001</v>
      </c>
      <c r="K16" s="9"/>
      <c r="L16" s="9"/>
      <c r="M16" s="9"/>
      <c r="Q16" s="3"/>
      <c r="R16" s="2"/>
      <c r="X16" s="2"/>
    </row>
    <row r="17" spans="1:35">
      <c r="A17">
        <v>2</v>
      </c>
      <c r="B17">
        <v>300</v>
      </c>
      <c r="C17">
        <v>4</v>
      </c>
      <c r="D17">
        <f>IF(F17&lt;9999,1,0)</f>
        <v>1</v>
      </c>
      <c r="E17">
        <f>IF(G17&lt;1,1,0)</f>
        <v>1</v>
      </c>
      <c r="F17" s="9">
        <v>96.921199999999999</v>
      </c>
      <c r="G17" s="9">
        <v>0.313724</v>
      </c>
      <c r="H17" s="9">
        <v>0.186251</v>
      </c>
      <c r="K17" s="9"/>
      <c r="L17" s="9"/>
      <c r="M17" s="9"/>
      <c r="P17" s="3"/>
      <c r="Q17" s="2"/>
      <c r="W17" s="2"/>
    </row>
    <row r="18" spans="1:35">
      <c r="A18">
        <v>2</v>
      </c>
      <c r="B18">
        <v>300</v>
      </c>
      <c r="C18">
        <v>5</v>
      </c>
      <c r="D18">
        <f>IF(F18&lt;9999,1,0)</f>
        <v>1</v>
      </c>
      <c r="E18">
        <f>IF(G18&lt;1,1,0)</f>
        <v>1</v>
      </c>
      <c r="F18" s="9">
        <v>93.453199999999995</v>
      </c>
      <c r="G18" s="9">
        <v>0.79386299999999999</v>
      </c>
      <c r="H18" s="9">
        <v>0.29736899999999999</v>
      </c>
      <c r="I18" s="2"/>
      <c r="J18" s="2"/>
      <c r="K18" s="9"/>
      <c r="L18" s="9"/>
      <c r="M18" s="9"/>
      <c r="O18" s="3"/>
      <c r="P18" s="2"/>
      <c r="V18" s="2"/>
    </row>
    <row r="19" spans="1:35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93.983640000000008</v>
      </c>
      <c r="G19" s="10">
        <f>($D14*G14+$D15*G15+$D16*G16+$D17*G17+$D18*G18)/$D19</f>
        <v>0.449488</v>
      </c>
      <c r="H19" s="10">
        <f>AVERAGE(H14:H18)</f>
        <v>0.34227479999999999</v>
      </c>
      <c r="I19"/>
      <c r="J19"/>
      <c r="K19" s="9"/>
      <c r="L19" s="9"/>
      <c r="M19" s="9"/>
      <c r="N19"/>
      <c r="P19"/>
      <c r="Q19"/>
      <c r="R19"/>
      <c r="S19"/>
      <c r="T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>
      <c r="A20">
        <v>2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121.708</v>
      </c>
      <c r="G20" s="9">
        <v>0</v>
      </c>
      <c r="H20" s="9">
        <v>0.58330599999999999</v>
      </c>
      <c r="K20" s="9"/>
      <c r="L20" s="9"/>
      <c r="M20" s="9"/>
      <c r="N20" s="2"/>
      <c r="T20" s="2"/>
    </row>
    <row r="21" spans="1:35">
      <c r="A21">
        <v>2</v>
      </c>
      <c r="B21">
        <v>400</v>
      </c>
      <c r="C21">
        <v>2</v>
      </c>
      <c r="D21">
        <f>IF(F21&lt;9999,1,0)</f>
        <v>1</v>
      </c>
      <c r="E21">
        <f>IF(G21&lt;1,1,0)</f>
        <v>1</v>
      </c>
      <c r="F21" s="9">
        <v>213.23699999999999</v>
      </c>
      <c r="G21" s="9">
        <v>0</v>
      </c>
      <c r="H21" s="9">
        <v>0.26704499999999998</v>
      </c>
      <c r="K21" s="9"/>
      <c r="L21" s="9"/>
      <c r="M21" s="9"/>
      <c r="S21" s="2"/>
    </row>
    <row r="22" spans="1:35">
      <c r="A22">
        <v>2</v>
      </c>
      <c r="B22">
        <v>400</v>
      </c>
      <c r="C22">
        <v>3</v>
      </c>
      <c r="D22">
        <f>IF(F22&lt;9999,1,0)</f>
        <v>1</v>
      </c>
      <c r="E22">
        <f>IF(G22&lt;1,1,0)</f>
        <v>1</v>
      </c>
      <c r="F22" s="9">
        <v>142.119</v>
      </c>
      <c r="G22" s="9">
        <v>0</v>
      </c>
      <c r="H22" s="9">
        <v>0.412107</v>
      </c>
      <c r="K22" s="9"/>
      <c r="L22" s="9"/>
      <c r="M22" s="9"/>
      <c r="R22" s="2"/>
    </row>
    <row r="23" spans="1:35">
      <c r="A23">
        <v>2</v>
      </c>
      <c r="B23">
        <v>400</v>
      </c>
      <c r="C23">
        <v>4</v>
      </c>
      <c r="D23">
        <f>IF(F23&lt;9999,1,0)</f>
        <v>1</v>
      </c>
      <c r="E23">
        <f>IF(G23&lt;1,1,0)</f>
        <v>1</v>
      </c>
      <c r="F23" s="9">
        <v>38.915199999999999</v>
      </c>
      <c r="G23" s="9">
        <v>0</v>
      </c>
      <c r="H23" s="9">
        <v>0.252307</v>
      </c>
      <c r="I23" s="3"/>
      <c r="J23" s="3"/>
      <c r="K23" s="9"/>
      <c r="L23" s="9"/>
      <c r="M23" s="9"/>
      <c r="Q23" s="2"/>
    </row>
    <row r="24" spans="1:35">
      <c r="A24">
        <v>2</v>
      </c>
      <c r="B24">
        <v>400</v>
      </c>
      <c r="C24">
        <v>5</v>
      </c>
      <c r="D24">
        <f>IF(F24&lt;9999,1,0)</f>
        <v>1</v>
      </c>
      <c r="E24">
        <f>IF(G24&lt;1,1,0)</f>
        <v>1</v>
      </c>
      <c r="F24" s="9">
        <v>95.059799999999996</v>
      </c>
      <c r="G24" s="9">
        <v>0</v>
      </c>
      <c r="H24" s="9">
        <v>0.277252</v>
      </c>
      <c r="I24" s="2"/>
      <c r="J24" s="2"/>
      <c r="K24" s="9"/>
      <c r="L24" s="9"/>
      <c r="M24" s="9"/>
      <c r="P24" s="2"/>
    </row>
    <row r="25" spans="1:35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122.20779999999999</v>
      </c>
      <c r="G25" s="10">
        <f>($D20*G20+$D21*G21+$D22*G22+$D23*G23+$D24*G24)/$D25</f>
        <v>0</v>
      </c>
      <c r="H25" s="10">
        <f>AVERAGE(H20:H24)</f>
        <v>0.35840340000000004</v>
      </c>
      <c r="I25"/>
      <c r="J25"/>
      <c r="K25" s="9"/>
      <c r="L25" s="9"/>
      <c r="M25" s="9"/>
      <c r="N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>
      <c r="A26">
        <v>2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168.66</v>
      </c>
      <c r="G26" s="9">
        <v>0</v>
      </c>
      <c r="H26" s="9">
        <v>0.40425299999999997</v>
      </c>
      <c r="K26" s="9"/>
      <c r="L26" s="9"/>
      <c r="M26" s="9"/>
      <c r="N26" s="2"/>
    </row>
    <row r="27" spans="1:35">
      <c r="A27">
        <v>2</v>
      </c>
      <c r="B27">
        <v>500</v>
      </c>
      <c r="C27">
        <v>2</v>
      </c>
      <c r="D27">
        <f>IF(F27&lt;9999,1,0)</f>
        <v>1</v>
      </c>
      <c r="E27">
        <f>IF(G27&lt;1,1,0)</f>
        <v>1</v>
      </c>
      <c r="F27" s="9">
        <v>222.35400000000001</v>
      </c>
      <c r="G27" s="9">
        <v>0</v>
      </c>
      <c r="H27" s="9">
        <v>0.45536799999999999</v>
      </c>
      <c r="K27" s="9"/>
      <c r="L27" s="9"/>
      <c r="M27" s="9"/>
    </row>
    <row r="28" spans="1:35">
      <c r="A28">
        <v>2</v>
      </c>
      <c r="B28">
        <v>500</v>
      </c>
      <c r="C28">
        <v>3</v>
      </c>
      <c r="D28">
        <f>IF(F28&lt;9999,1,0)</f>
        <v>1</v>
      </c>
      <c r="E28">
        <f>IF(G28&lt;1,1,0)</f>
        <v>1</v>
      </c>
      <c r="F28" s="9">
        <v>154.208</v>
      </c>
      <c r="G28" s="9">
        <v>0</v>
      </c>
      <c r="H28" s="9">
        <v>4.35304</v>
      </c>
      <c r="K28" s="9"/>
      <c r="L28" s="9"/>
      <c r="M28" s="9"/>
    </row>
    <row r="29" spans="1:35">
      <c r="A29">
        <v>2</v>
      </c>
      <c r="B29">
        <v>500</v>
      </c>
      <c r="C29">
        <v>4</v>
      </c>
      <c r="D29">
        <f>IF(F29&lt;9999,1,0)</f>
        <v>1</v>
      </c>
      <c r="E29">
        <f>IF(G29&lt;1,1,0)</f>
        <v>1</v>
      </c>
      <c r="F29" s="9">
        <v>366.65199999999999</v>
      </c>
      <c r="G29" s="9">
        <v>0</v>
      </c>
      <c r="H29" s="9">
        <v>1.0065599999999999</v>
      </c>
      <c r="K29" s="9"/>
      <c r="L29" s="9"/>
      <c r="M29" s="9"/>
    </row>
    <row r="30" spans="1:35">
      <c r="A30">
        <v>2</v>
      </c>
      <c r="B30">
        <v>500</v>
      </c>
      <c r="C30">
        <v>5</v>
      </c>
      <c r="D30">
        <f>IF(F30&lt;9999,1,0)</f>
        <v>1</v>
      </c>
      <c r="E30">
        <f>IF(G30&lt;1,1,0)</f>
        <v>1</v>
      </c>
      <c r="F30" s="9">
        <v>118.245</v>
      </c>
      <c r="G30" s="9">
        <v>0</v>
      </c>
      <c r="H30" s="9">
        <v>1.1747000000000001</v>
      </c>
      <c r="I30" s="2"/>
      <c r="J30" s="2"/>
      <c r="K30" s="9"/>
      <c r="L30" s="9"/>
      <c r="M30" s="9"/>
    </row>
    <row r="31" spans="1:35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206.02380000000002</v>
      </c>
      <c r="G31" s="10">
        <f>($D26*G26+$D27*G27+$D28*G28+$D29*G29+$D30*G30)/$D31</f>
        <v>0</v>
      </c>
      <c r="H31" s="10">
        <f>AVERAGE(H26:H30)</f>
        <v>1.4787841999999998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139.292832</v>
      </c>
      <c r="G33" s="11">
        <f>(G7*$D7+G13*$D13+G19*$D19+G25*$D25+G31*$D31)/($D7+$D13+$D19+$D25+$D31)</f>
        <v>0.16276583999999999</v>
      </c>
      <c r="H33" s="11">
        <f>AVERAGE(H7,H13,H19,H25,H31)</f>
        <v>0.49405551999999997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C17-C7CF-43B8-B59B-D85A075B17C4}">
  <dimension ref="A1:AJ33"/>
  <sheetViews>
    <sheetView zoomScale="160" zoomScaleNormal="160" workbookViewId="0">
      <selection activeCell="I55" sqref="I55"/>
    </sheetView>
  </sheetViews>
  <sheetFormatPr defaultRowHeight="15"/>
  <cols>
    <col min="6" max="6" width="9.42578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6">
      <c r="A2">
        <v>4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108.773</v>
      </c>
      <c r="G2" s="9">
        <v>2.7624099999999999E-2</v>
      </c>
      <c r="H2" s="9">
        <v>0.39971499999999999</v>
      </c>
      <c r="M2" s="2"/>
      <c r="S2" s="2"/>
      <c r="Y2" s="2"/>
      <c r="AD2" s="3"/>
      <c r="AE2" s="2"/>
    </row>
    <row r="3" spans="1:36">
      <c r="A3">
        <v>4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9">
        <v>156.27199999999999</v>
      </c>
      <c r="G3" s="9">
        <v>0.89417100000000005</v>
      </c>
      <c r="H3" s="9">
        <v>0.68362400000000001</v>
      </c>
      <c r="L3" s="2"/>
      <c r="R3" s="2"/>
      <c r="X3" s="2"/>
      <c r="AC3" s="3"/>
      <c r="AD3" s="2"/>
    </row>
    <row r="4" spans="1:36">
      <c r="A4">
        <v>4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9">
        <v>232.41499999999999</v>
      </c>
      <c r="G4" s="9">
        <v>0.98719699999999999</v>
      </c>
      <c r="H4" s="9">
        <v>9.3767899999999997</v>
      </c>
      <c r="K4" s="2"/>
      <c r="Q4" s="2"/>
      <c r="W4" s="2"/>
      <c r="AB4" s="3"/>
      <c r="AC4" s="2"/>
      <c r="AI4" s="2"/>
    </row>
    <row r="5" spans="1:36">
      <c r="A5">
        <v>4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327.87599999999998</v>
      </c>
      <c r="G5" s="9">
        <v>0.98477599999999998</v>
      </c>
      <c r="H5" s="9">
        <v>8.6674000000000007</v>
      </c>
      <c r="I5" s="2"/>
      <c r="J5" s="2"/>
      <c r="P5" s="2"/>
      <c r="V5" s="2"/>
      <c r="AA5" s="3"/>
      <c r="AB5" s="2"/>
      <c r="AH5" s="2"/>
      <c r="AJ5" s="2"/>
    </row>
    <row r="6" spans="1:36">
      <c r="A6">
        <v>4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9">
        <v>245.94800000000001</v>
      </c>
      <c r="G6" s="9">
        <v>0.466775</v>
      </c>
      <c r="H6" s="9">
        <v>0.54890799999999995</v>
      </c>
    </row>
    <row r="7" spans="1:36" s="2" customFormat="1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214.25679999999997</v>
      </c>
      <c r="G7" s="10">
        <f>($D2*G2+$D3*G3+$D4*G4+$D5*G5+$D6*G6)/$D7</f>
        <v>0.67210862000000005</v>
      </c>
      <c r="H7" s="10">
        <f>AVERAGE(H2:H6)</f>
        <v>3.9352874000000009</v>
      </c>
      <c r="I7"/>
      <c r="J7"/>
      <c r="K7"/>
      <c r="L7"/>
      <c r="M7"/>
      <c r="O7"/>
      <c r="P7"/>
      <c r="Q7"/>
      <c r="R7"/>
      <c r="S7"/>
      <c r="U7"/>
      <c r="V7"/>
      <c r="W7"/>
      <c r="X7"/>
      <c r="Y7" s="3"/>
      <c r="AA7"/>
      <c r="AB7"/>
      <c r="AC7"/>
      <c r="AD7"/>
      <c r="AE7"/>
      <c r="AG7"/>
      <c r="AH7"/>
      <c r="AI7"/>
    </row>
    <row r="8" spans="1:36">
      <c r="A8">
        <v>4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214.69900000000001</v>
      </c>
      <c r="G8" s="9">
        <v>0.59186499999999997</v>
      </c>
      <c r="H8" s="9">
        <v>1.5038899999999999</v>
      </c>
      <c r="M8" s="2"/>
      <c r="S8" s="2"/>
      <c r="X8" s="3"/>
      <c r="Y8" s="2"/>
      <c r="AE8" s="2"/>
    </row>
    <row r="9" spans="1:36">
      <c r="A9">
        <v>4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9">
        <v>184.52099999999999</v>
      </c>
      <c r="G9" s="9">
        <v>0.47004099999999999</v>
      </c>
      <c r="H9" s="9">
        <v>2.18594</v>
      </c>
      <c r="L9" s="2"/>
      <c r="R9" s="2"/>
      <c r="W9" s="3"/>
      <c r="X9" s="2"/>
      <c r="AD9" s="2"/>
    </row>
    <row r="10" spans="1:36">
      <c r="A10">
        <v>4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9">
        <v>198.57499999999999</v>
      </c>
      <c r="G10" s="9">
        <v>0.98412500000000003</v>
      </c>
      <c r="H10" s="9">
        <v>6.6918300000000004</v>
      </c>
      <c r="K10" s="2"/>
      <c r="Q10" s="2"/>
      <c r="V10" s="3"/>
      <c r="W10" s="2"/>
      <c r="AC10" s="2"/>
    </row>
    <row r="11" spans="1:36">
      <c r="A11">
        <v>4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9">
        <v>282.863</v>
      </c>
      <c r="G11" s="9">
        <v>0.75226199999999999</v>
      </c>
      <c r="H11" s="9">
        <v>1.3366400000000001</v>
      </c>
      <c r="I11" s="2"/>
      <c r="J11" s="2"/>
      <c r="P11" s="2"/>
      <c r="U11" s="3"/>
      <c r="V11" s="2"/>
      <c r="AB11" s="2"/>
    </row>
    <row r="12" spans="1:36">
      <c r="A12">
        <v>4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9">
        <v>112.386</v>
      </c>
      <c r="G12" s="9">
        <v>0</v>
      </c>
      <c r="H12" s="9">
        <v>0.67743600000000004</v>
      </c>
      <c r="O12" s="2"/>
      <c r="U12" s="2"/>
      <c r="AA12" s="2"/>
    </row>
    <row r="13" spans="1:36" s="2" customFormat="1">
      <c r="A13" s="14" t="s">
        <v>6</v>
      </c>
      <c r="B13" s="14"/>
      <c r="C13" s="14"/>
      <c r="D13" s="8">
        <f>SUM(D8:D12)</f>
        <v>5</v>
      </c>
      <c r="E13" s="4">
        <f>SUM(E8:E12)</f>
        <v>5</v>
      </c>
      <c r="F13" s="10">
        <f>($D8*F8+$D9*F9+$D10*F10+$D11*F11+$D12*F12)/$D13</f>
        <v>198.60880000000003</v>
      </c>
      <c r="G13" s="10">
        <f>($D8*G8+$D9*G9+$D10*G10+$D11*G11+$D12*G12)/$D13</f>
        <v>0.55965860000000001</v>
      </c>
      <c r="H13" s="10">
        <f>AVERAGE(H8:H12)</f>
        <v>2.4791471999999999</v>
      </c>
      <c r="I13"/>
      <c r="J13"/>
      <c r="K13"/>
      <c r="L13"/>
      <c r="M13"/>
      <c r="O13"/>
      <c r="P13"/>
      <c r="Q13"/>
      <c r="R13"/>
      <c r="S13" s="3"/>
      <c r="U13"/>
      <c r="V13"/>
      <c r="W13"/>
      <c r="X13"/>
      <c r="Y13"/>
      <c r="AA13"/>
      <c r="AB13"/>
      <c r="AC13"/>
      <c r="AD13"/>
      <c r="AE13"/>
      <c r="AF13"/>
      <c r="AG13"/>
      <c r="AH13"/>
      <c r="AI13"/>
    </row>
    <row r="14" spans="1:36">
      <c r="A14">
        <v>4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9">
        <v>154.44999999999999</v>
      </c>
      <c r="G14" s="9">
        <v>0.64145099999999999</v>
      </c>
      <c r="H14" s="9">
        <v>1.0930599999999999</v>
      </c>
      <c r="M14" s="2"/>
      <c r="R14" s="3"/>
      <c r="S14" s="2"/>
      <c r="Y14" s="2"/>
    </row>
    <row r="15" spans="1:36">
      <c r="A15">
        <v>4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9">
        <v>177.09</v>
      </c>
      <c r="G15" s="9">
        <v>0.45578600000000002</v>
      </c>
      <c r="H15" s="9">
        <v>1.2740199999999999</v>
      </c>
      <c r="L15" s="2"/>
      <c r="Q15" s="3"/>
      <c r="R15" s="2"/>
      <c r="X15" s="2"/>
    </row>
    <row r="16" spans="1:36">
      <c r="A16">
        <v>4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202.249</v>
      </c>
      <c r="G16" s="9">
        <v>0.44938699999999998</v>
      </c>
      <c r="H16" s="9">
        <v>3.7810299999999999</v>
      </c>
      <c r="K16" s="2"/>
      <c r="P16" s="3"/>
      <c r="Q16" s="2"/>
      <c r="W16" s="2"/>
    </row>
    <row r="17" spans="1:36">
      <c r="A17">
        <v>4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9">
        <v>144.68199999999999</v>
      </c>
      <c r="G17" s="9">
        <v>0.300122</v>
      </c>
      <c r="H17" s="9">
        <v>0.806114</v>
      </c>
      <c r="I17" s="2"/>
      <c r="J17" s="2"/>
      <c r="O17" s="3"/>
      <c r="P17" s="2"/>
      <c r="V17" s="2"/>
    </row>
    <row r="18" spans="1:36">
      <c r="A18">
        <v>4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9">
        <v>148.899</v>
      </c>
      <c r="G18" s="9">
        <v>0.96874700000000002</v>
      </c>
      <c r="H18" s="9">
        <v>83.086600000000004</v>
      </c>
      <c r="O18" s="2"/>
      <c r="U18" s="2"/>
    </row>
    <row r="19" spans="1:36" s="2" customFormat="1">
      <c r="A19" s="14" t="s">
        <v>6</v>
      </c>
      <c r="B19" s="14"/>
      <c r="C19" s="14"/>
      <c r="D19" s="8">
        <f>SUM(D14:D18)</f>
        <v>5</v>
      </c>
      <c r="E19" s="4">
        <f>SUM(E14:E18)</f>
        <v>5</v>
      </c>
      <c r="F19" s="10">
        <f>($D14*F14+$D15*F15+$D16*F16+$D17*F17+$D18*F18)/$D19</f>
        <v>165.47399999999999</v>
      </c>
      <c r="G19" s="10">
        <f>($D14*G14+$D15*G15+$D16*G16+$D17*G17+$D18*G18)/$D19</f>
        <v>0.5630986</v>
      </c>
      <c r="H19" s="10">
        <f>AVERAGE(H14:H18)</f>
        <v>18.008164799999999</v>
      </c>
      <c r="I19"/>
      <c r="J19"/>
      <c r="K19"/>
      <c r="L19"/>
      <c r="M19" s="3"/>
      <c r="O19"/>
      <c r="P19"/>
      <c r="Q19"/>
      <c r="R19"/>
      <c r="S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6">
      <c r="A20">
        <v>4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120.285</v>
      </c>
      <c r="G20" s="9">
        <v>0.43401400000000001</v>
      </c>
      <c r="H20" s="9">
        <v>0.93311999999999995</v>
      </c>
      <c r="L20" s="3"/>
      <c r="M20" s="2"/>
      <c r="S20" s="2"/>
    </row>
    <row r="21" spans="1:36">
      <c r="A21">
        <v>4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9">
        <v>439.54899999999998</v>
      </c>
      <c r="G21" s="9">
        <v>0.11905399999999999</v>
      </c>
      <c r="H21" s="9">
        <v>1.85181</v>
      </c>
      <c r="K21" s="3"/>
      <c r="L21" s="2"/>
      <c r="R21" s="2"/>
    </row>
    <row r="22" spans="1:36">
      <c r="A22">
        <v>4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9">
        <v>258.95100000000002</v>
      </c>
      <c r="G22" s="9">
        <v>0.183007</v>
      </c>
      <c r="H22" s="9">
        <v>1.86988</v>
      </c>
      <c r="I22" s="3"/>
      <c r="J22" s="3"/>
      <c r="K22" s="2"/>
      <c r="Q22" s="2"/>
    </row>
    <row r="23" spans="1:36">
      <c r="A23">
        <v>4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9">
        <v>166.988</v>
      </c>
      <c r="G23" s="9">
        <v>0.80665399999999998</v>
      </c>
      <c r="H23" s="9">
        <v>2.71095</v>
      </c>
      <c r="I23" s="2"/>
      <c r="J23" s="2"/>
      <c r="P23" s="2"/>
    </row>
    <row r="24" spans="1:36" s="3" customFormat="1">
      <c r="A24">
        <v>4</v>
      </c>
      <c r="B24" s="3">
        <v>400</v>
      </c>
      <c r="C24" s="3">
        <v>5</v>
      </c>
      <c r="D24">
        <f>IF(F24&lt;9999,1,0)</f>
        <v>1</v>
      </c>
      <c r="E24">
        <f t="shared" si="3"/>
        <v>1</v>
      </c>
      <c r="F24" s="9">
        <v>147.56399999999999</v>
      </c>
      <c r="G24" s="9">
        <v>0.99344600000000005</v>
      </c>
      <c r="H24" s="9">
        <v>31.6632</v>
      </c>
      <c r="I24"/>
      <c r="J24"/>
      <c r="K24"/>
      <c r="L24"/>
      <c r="M24"/>
      <c r="N24"/>
      <c r="O24" s="2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2" customFormat="1">
      <c r="A25" s="14" t="s">
        <v>6</v>
      </c>
      <c r="B25" s="14"/>
      <c r="C25" s="14"/>
      <c r="D25" s="8">
        <f>SUM(D20:D24)</f>
        <v>5</v>
      </c>
      <c r="E25" s="4">
        <f>SUM(E20:E24)</f>
        <v>5</v>
      </c>
      <c r="F25" s="10">
        <f>($D20*F20+$D21*F21+$D22*F22+$D23*F23+$D24*F24)/$D25</f>
        <v>226.66739999999999</v>
      </c>
      <c r="G25" s="10">
        <f>($D20*G20+$D21*G21+$D22*G22+$D23*G23+$D24*G24)/$D25</f>
        <v>0.50723499999999999</v>
      </c>
      <c r="H25" s="10">
        <f>AVERAGE(H20:H24)</f>
        <v>7.8057919999999994</v>
      </c>
      <c r="I25"/>
      <c r="J25"/>
      <c r="K25"/>
      <c r="L25"/>
      <c r="M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6">
      <c r="A26">
        <v>4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371.59300000000002</v>
      </c>
      <c r="G26" s="9">
        <v>0.93476000000000004</v>
      </c>
      <c r="H26" s="9">
        <v>13.287800000000001</v>
      </c>
      <c r="M26" s="2"/>
    </row>
    <row r="27" spans="1:36">
      <c r="A27">
        <v>4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9">
        <v>249.446</v>
      </c>
      <c r="G27" s="9">
        <v>0.41317599999999999</v>
      </c>
      <c r="H27" s="9">
        <v>2.8376899999999998</v>
      </c>
      <c r="L27" s="2"/>
    </row>
    <row r="28" spans="1:36">
      <c r="A28">
        <v>4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9">
        <v>155.715</v>
      </c>
      <c r="G28" s="9">
        <v>0.49932399999999999</v>
      </c>
      <c r="H28" s="9">
        <v>2.6838199999999999</v>
      </c>
      <c r="K28" s="2"/>
    </row>
    <row r="29" spans="1:36">
      <c r="A29">
        <v>4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9">
        <v>214.089</v>
      </c>
      <c r="G29" s="9">
        <v>0.98512999999999995</v>
      </c>
      <c r="H29" s="9">
        <v>9.4843600000000006</v>
      </c>
      <c r="I29" s="2"/>
      <c r="J29" s="2"/>
    </row>
    <row r="30" spans="1:36">
      <c r="A30">
        <v>4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9">
        <v>187.64599999999999</v>
      </c>
      <c r="G30" s="9">
        <v>0.78303500000000004</v>
      </c>
      <c r="H30" s="9">
        <v>1.5969899999999999</v>
      </c>
    </row>
    <row r="31" spans="1:36" s="2" customFormat="1">
      <c r="A31" s="14" t="s">
        <v>6</v>
      </c>
      <c r="B31" s="14"/>
      <c r="C31" s="14"/>
      <c r="D31" s="8">
        <f>SUM(D26:D30)</f>
        <v>5</v>
      </c>
      <c r="E31" s="4">
        <f>SUM(E26:E30)</f>
        <v>5</v>
      </c>
      <c r="F31" s="10">
        <f>($D26*F26+$D27*F27+$D28*F28+$D29*F29+$D30*F30)/$D31</f>
        <v>235.6978</v>
      </c>
      <c r="G31" s="10">
        <f>($D26*G26+$D27*G27+$D28*G28+$D29*G29+$D30*G30)/$D31</f>
        <v>0.72308499999999998</v>
      </c>
      <c r="H31" s="10">
        <f>AVERAGE(H26:H30)</f>
        <v>5.9781319999999996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3" t="s">
        <v>8</v>
      </c>
      <c r="B33" s="13"/>
      <c r="C33" s="13"/>
      <c r="D33" s="2">
        <f>SUM(D7,D13,D19,D25,D31)</f>
        <v>25</v>
      </c>
      <c r="E33" s="2">
        <f>SUM(E7,E13,E19,E25,E31)</f>
        <v>25</v>
      </c>
      <c r="F33" s="11">
        <f>(F7*$D7+F13*$D13+F19*$D19+F25*$D25+F31*$D31)/($D7+$D13+$D19+$D25+$D31)</f>
        <v>208.14095999999998</v>
      </c>
      <c r="G33" s="11">
        <f>(G7*$D7+G13*$D13+G19*$D19+G25*$D25+G31*$D31)/($D7+$D13+$D19+$D25+$D31)</f>
        <v>0.60503716400000007</v>
      </c>
      <c r="H33" s="11">
        <f>AVERAGE(H7,H13,H19,H25,H31)</f>
        <v>7.6413046800000002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CD6-AFB7-4163-8FF8-B16393B13EB3}">
  <dimension ref="A1:AI33"/>
  <sheetViews>
    <sheetView topLeftCell="D1" zoomScale="145" zoomScaleNormal="145" workbookViewId="0">
      <selection activeCell="F31" sqref="F31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6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370.91199999999998</v>
      </c>
      <c r="G2" s="9">
        <v>0.99899800000000005</v>
      </c>
      <c r="H2" s="9">
        <v>128.102</v>
      </c>
      <c r="M2" s="2"/>
      <c r="S2" s="2"/>
      <c r="Y2" s="2"/>
      <c r="AD2" s="3"/>
      <c r="AE2" s="2"/>
    </row>
    <row r="3" spans="1:35">
      <c r="A3">
        <v>6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9">
        <v>282.36099999999999</v>
      </c>
      <c r="G3" s="9">
        <v>0.36924600000000002</v>
      </c>
      <c r="H3" s="9">
        <v>1.0225299999999999</v>
      </c>
      <c r="L3" s="2"/>
      <c r="R3" s="2"/>
      <c r="X3" s="2"/>
      <c r="AC3" s="3"/>
      <c r="AD3" s="2"/>
    </row>
    <row r="4" spans="1:35">
      <c r="A4">
        <v>6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9">
        <v>480.87</v>
      </c>
      <c r="G4" s="9">
        <v>0.415659</v>
      </c>
      <c r="H4" s="9">
        <v>3.4941300000000002</v>
      </c>
      <c r="K4" s="2"/>
      <c r="Q4" s="2"/>
      <c r="W4" s="2"/>
      <c r="AB4" s="3"/>
      <c r="AC4" s="2"/>
      <c r="AI4" s="2"/>
    </row>
    <row r="5" spans="1:35">
      <c r="A5">
        <v>6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266.66899999999998</v>
      </c>
      <c r="G5" s="9">
        <v>0.560805</v>
      </c>
      <c r="H5" s="9">
        <v>1.2568299999999999</v>
      </c>
      <c r="I5" s="2"/>
      <c r="J5" s="2"/>
      <c r="P5" s="2"/>
      <c r="V5" s="2"/>
      <c r="AA5" s="3"/>
      <c r="AB5" s="2"/>
      <c r="AH5" s="2"/>
    </row>
    <row r="6" spans="1:35">
      <c r="A6">
        <v>6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9">
        <v>430.26100000000002</v>
      </c>
      <c r="G6" s="9">
        <v>0.81549499999999997</v>
      </c>
      <c r="H6" s="9">
        <v>174.09700000000001</v>
      </c>
    </row>
    <row r="7" spans="1:35">
      <c r="A7" s="14" t="s">
        <v>6</v>
      </c>
      <c r="B7" s="14"/>
      <c r="C7" s="14"/>
      <c r="D7" s="8">
        <f>SUM(D2:D6)</f>
        <v>5</v>
      </c>
      <c r="E7" s="4">
        <f>SUM(E2:E6)</f>
        <v>5</v>
      </c>
      <c r="F7" s="10">
        <f>($D2*F2+$D3*F3+$D4*F4+$D5*F5+$D6*F6)/$D7</f>
        <v>366.21459999999996</v>
      </c>
      <c r="G7" s="10">
        <f>($D2*G2+$D3*G3+$D4*G4+$D5*G5+$D6*G6)/$D7</f>
        <v>0.63204059999999995</v>
      </c>
      <c r="H7" s="10">
        <f>AVERAGE(H2:H6)</f>
        <v>61.594498000000002</v>
      </c>
      <c r="N7" s="2"/>
      <c r="T7" s="2"/>
      <c r="Y7" s="3"/>
      <c r="Z7" s="2"/>
      <c r="AF7" s="2"/>
    </row>
    <row r="8" spans="1:35">
      <c r="A8">
        <v>6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9">
        <v>553.50900000000001</v>
      </c>
      <c r="G8" s="9">
        <v>0.99835300000000005</v>
      </c>
      <c r="H8" s="9">
        <v>4.8176199999999998</v>
      </c>
      <c r="M8" s="2"/>
      <c r="S8" s="2"/>
      <c r="X8" s="3"/>
      <c r="Y8" s="2"/>
      <c r="AE8" s="2"/>
    </row>
    <row r="9" spans="1:35">
      <c r="A9">
        <v>6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9">
        <v>394.68099999999998</v>
      </c>
      <c r="G9" s="9">
        <v>0.977136</v>
      </c>
      <c r="H9" s="9">
        <v>4.2642100000000003</v>
      </c>
      <c r="L9" s="2"/>
      <c r="R9" s="2"/>
      <c r="W9" s="3"/>
      <c r="X9" s="2"/>
      <c r="AD9" s="2"/>
    </row>
    <row r="10" spans="1:35">
      <c r="A10">
        <v>6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9">
        <v>238.208</v>
      </c>
      <c r="G10" s="9">
        <v>0.90061899999999995</v>
      </c>
      <c r="H10" s="9">
        <v>83.379599999999996</v>
      </c>
      <c r="K10" s="2"/>
      <c r="Q10" s="2"/>
      <c r="V10" s="3"/>
      <c r="W10" s="2"/>
      <c r="AC10" s="2"/>
    </row>
    <row r="11" spans="1:35">
      <c r="A11">
        <v>6</v>
      </c>
      <c r="B11">
        <v>200</v>
      </c>
      <c r="C11">
        <v>4</v>
      </c>
      <c r="D11">
        <f>IF(F11&lt;9999,1,0)</f>
        <v>1</v>
      </c>
      <c r="E11">
        <f t="shared" si="1"/>
        <v>0</v>
      </c>
      <c r="F11" s="9">
        <v>836.48099999999999</v>
      </c>
      <c r="G11" s="9">
        <v>100</v>
      </c>
      <c r="H11" s="9">
        <v>1800.01</v>
      </c>
      <c r="I11" s="2"/>
      <c r="J11" s="2"/>
      <c r="P11" s="2"/>
      <c r="U11" s="3"/>
      <c r="V11" s="2"/>
      <c r="AB11" s="2"/>
    </row>
    <row r="12" spans="1:35">
      <c r="A12">
        <v>6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9">
        <v>232.59899999999999</v>
      </c>
      <c r="G12" s="9">
        <v>0.87114599999999998</v>
      </c>
      <c r="H12" s="9">
        <v>4.5063500000000003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5</v>
      </c>
      <c r="E13" s="4">
        <f>SUM(E8:E12)</f>
        <v>4</v>
      </c>
      <c r="F13" s="10">
        <f>($D8*F8+$D9*F9+$D10*F10+$D11*F11+$D12*F12)/$D13</f>
        <v>451.09559999999999</v>
      </c>
      <c r="G13" s="10">
        <f>($D8*G8+$D9*G9+$D10*G10+$D11*G11+$D12*G12)/$D13</f>
        <v>20.749450799999998</v>
      </c>
      <c r="H13" s="10">
        <f>AVERAGE(H8:H12)</f>
        <v>379.39555600000006</v>
      </c>
      <c r="N13" s="2"/>
      <c r="S13" s="3"/>
      <c r="T13" s="2"/>
      <c r="Z13" s="2"/>
    </row>
    <row r="14" spans="1:35">
      <c r="A14">
        <v>6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661.33500000000004</v>
      </c>
      <c r="G14" s="9">
        <v>100</v>
      </c>
      <c r="H14" s="9">
        <v>1801.76</v>
      </c>
      <c r="M14" s="2"/>
      <c r="R14" s="3"/>
      <c r="S14" s="2"/>
      <c r="Y14" s="2"/>
    </row>
    <row r="15" spans="1:35">
      <c r="A15">
        <v>6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9">
        <v>258.21699999999998</v>
      </c>
      <c r="G15" s="9">
        <v>0.78294699999999995</v>
      </c>
      <c r="H15" s="9">
        <v>17.179600000000001</v>
      </c>
      <c r="L15" s="2"/>
      <c r="Q15" s="3"/>
      <c r="R15" s="2"/>
      <c r="X15" s="2"/>
    </row>
    <row r="16" spans="1:35">
      <c r="A16">
        <v>6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193.721</v>
      </c>
      <c r="G16" s="9">
        <v>0.36319299999999999</v>
      </c>
      <c r="H16" s="9">
        <v>4.1439899999999996</v>
      </c>
      <c r="K16" s="2"/>
      <c r="P16" s="3"/>
      <c r="Q16" s="2"/>
      <c r="W16" s="2"/>
    </row>
    <row r="17" spans="1:22">
      <c r="A17">
        <v>6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9">
        <v>321.55900000000003</v>
      </c>
      <c r="G17" s="9">
        <v>0.99946199999999996</v>
      </c>
      <c r="H17" s="9">
        <v>1522.32</v>
      </c>
      <c r="I17" s="2"/>
      <c r="J17" s="2"/>
      <c r="O17" s="3"/>
      <c r="P17" s="2"/>
      <c r="V17" s="2"/>
    </row>
    <row r="18" spans="1:22">
      <c r="A18">
        <v>6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9">
        <v>368.81299999999999</v>
      </c>
      <c r="G18" s="9">
        <v>0.99796099999999999</v>
      </c>
      <c r="H18" s="9">
        <v>12.4002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5</v>
      </c>
      <c r="E19" s="4">
        <f>SUM(E14:E18)</f>
        <v>4</v>
      </c>
      <c r="F19" s="10">
        <f>($D14*F14+$D15*F15+$D16*F16+$D17*F17+$D18*F18)/$D19</f>
        <v>360.72899999999998</v>
      </c>
      <c r="G19" s="10">
        <f>($D14*G14+$D15*G15+$D16*G16+$D17*G17+$D18*G18)/$D19</f>
        <v>20.628712599999997</v>
      </c>
      <c r="H19" s="10">
        <f>AVERAGE(H14:H18)</f>
        <v>671.56075799999996</v>
      </c>
      <c r="M19" s="3"/>
      <c r="N19" s="2"/>
      <c r="T19" s="2"/>
    </row>
    <row r="20" spans="1:22">
      <c r="A20">
        <v>6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9">
        <v>343.48</v>
      </c>
      <c r="G20" s="9">
        <v>0.76290800000000003</v>
      </c>
      <c r="H20" s="9">
        <v>53.923200000000001</v>
      </c>
      <c r="L20" s="3"/>
      <c r="M20" s="2"/>
      <c r="S20" s="2"/>
    </row>
    <row r="21" spans="1:22">
      <c r="A21">
        <v>6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382.11099999999999</v>
      </c>
      <c r="G21" s="9">
        <v>1.0614300000000001</v>
      </c>
      <c r="H21" s="9">
        <v>1800.11</v>
      </c>
      <c r="K21" s="3"/>
      <c r="L21" s="2"/>
      <c r="R21" s="2"/>
    </row>
    <row r="22" spans="1:22">
      <c r="A22">
        <v>6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9">
        <v>299.01299999999998</v>
      </c>
      <c r="G22" s="9">
        <v>0.40086500000000003</v>
      </c>
      <c r="H22" s="9">
        <v>3.9906299999999999</v>
      </c>
      <c r="I22" s="3"/>
      <c r="J22" s="3"/>
      <c r="K22" s="2"/>
      <c r="Q22" s="2"/>
    </row>
    <row r="23" spans="1:22">
      <c r="A23">
        <v>6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9">
        <v>246.80699999999999</v>
      </c>
      <c r="G23" s="9">
        <v>0.985344</v>
      </c>
      <c r="H23" s="9">
        <v>54.5212</v>
      </c>
      <c r="I23" s="2"/>
      <c r="J23" s="2"/>
      <c r="P23" s="2"/>
    </row>
    <row r="24" spans="1:22">
      <c r="A24">
        <v>6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9">
        <v>293.10500000000002</v>
      </c>
      <c r="G24" s="9">
        <v>0.74626999999999999</v>
      </c>
      <c r="H24" s="9">
        <v>1043.8800000000001</v>
      </c>
      <c r="O24" s="2"/>
    </row>
    <row r="25" spans="1:22">
      <c r="A25" s="14" t="s">
        <v>6</v>
      </c>
      <c r="B25" s="14"/>
      <c r="C25" s="14"/>
      <c r="D25" s="8">
        <f>SUM(D20:D24)</f>
        <v>5</v>
      </c>
      <c r="E25" s="4">
        <f>SUM(E20:E24)</f>
        <v>4</v>
      </c>
      <c r="F25" s="10">
        <f>($D20*F20+$D21*F21+$D22*F22+$D23*F23+$D24*F24)/$D25</f>
        <v>312.90320000000003</v>
      </c>
      <c r="G25" s="10">
        <f>($D20*G20+$D21*G21+$D22*G22+$D23*G23+$D24*G24)/$D25</f>
        <v>0.79136340000000005</v>
      </c>
      <c r="H25" s="10">
        <f>AVERAGE(H20:H24)</f>
        <v>591.28500599999995</v>
      </c>
      <c r="N25" s="2"/>
    </row>
    <row r="26" spans="1:22">
      <c r="A26">
        <v>6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9">
        <v>169.90199999999999</v>
      </c>
      <c r="G26" s="9">
        <v>0.92846200000000001</v>
      </c>
      <c r="H26" s="9">
        <v>14.330299999999999</v>
      </c>
      <c r="M26" s="2"/>
    </row>
    <row r="27" spans="1:22">
      <c r="A27">
        <v>6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9">
        <v>296.60700000000003</v>
      </c>
      <c r="G27" s="9">
        <v>0.979827</v>
      </c>
      <c r="H27" s="9">
        <v>67.961600000000004</v>
      </c>
      <c r="L27" s="2"/>
    </row>
    <row r="28" spans="1:22">
      <c r="A28">
        <v>6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9">
        <v>316.30200000000002</v>
      </c>
      <c r="G28" s="9">
        <v>0.40971000000000002</v>
      </c>
      <c r="H28" s="9">
        <v>279.23700000000002</v>
      </c>
      <c r="K28" s="2"/>
    </row>
    <row r="29" spans="1:22">
      <c r="A29">
        <v>6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9">
        <v>205.09899999999999</v>
      </c>
      <c r="G29" s="9">
        <v>0.57663699999999996</v>
      </c>
      <c r="H29" s="9">
        <v>96.404399999999995</v>
      </c>
      <c r="I29" s="2"/>
      <c r="J29" s="2"/>
    </row>
    <row r="30" spans="1:22">
      <c r="A30">
        <v>6</v>
      </c>
      <c r="B30">
        <v>500</v>
      </c>
      <c r="C30">
        <v>5</v>
      </c>
      <c r="D30">
        <f>IF(F30&lt;9999,1,0)</f>
        <v>0</v>
      </c>
      <c r="E30">
        <f t="shared" si="4"/>
        <v>0</v>
      </c>
      <c r="F30" s="9">
        <v>20429.099999999999</v>
      </c>
      <c r="G30" s="9">
        <v>100</v>
      </c>
      <c r="H30" s="9">
        <v>1802.72</v>
      </c>
    </row>
    <row r="31" spans="1:22">
      <c r="A31" s="14" t="s">
        <v>6</v>
      </c>
      <c r="B31" s="14"/>
      <c r="C31" s="14"/>
      <c r="D31" s="8">
        <f>SUM(D26:D30)</f>
        <v>4</v>
      </c>
      <c r="E31" s="4">
        <f>SUM(E26:E30)</f>
        <v>4</v>
      </c>
      <c r="F31" s="10">
        <f>($D26*F26+$D27*F27+$D28*F28+$D29*F29+$D30*F30)/$D31</f>
        <v>246.97750000000002</v>
      </c>
      <c r="G31" s="10">
        <f>($D26*G26+$D27*G27+$D28*G28+$D29*G29+$D30*G30)/$D31</f>
        <v>0.72365899999999994</v>
      </c>
      <c r="H31" s="10">
        <f>AVERAGE(H26:H30)</f>
        <v>452.13065999999998</v>
      </c>
    </row>
    <row r="33" spans="1:8">
      <c r="A33" s="13" t="s">
        <v>8</v>
      </c>
      <c r="B33" s="13"/>
      <c r="C33" s="13"/>
      <c r="D33" s="2">
        <f>SUM(D7,D13,D19,D25,D31)</f>
        <v>24</v>
      </c>
      <c r="E33" s="2">
        <f>SUM(E7,E13,E19,E25,E31)</f>
        <v>21</v>
      </c>
      <c r="F33" s="11">
        <f>(F7*$D7+F13*$D13+F19*$D19+F25*$D25+F31*$D31)/($D7+$D13+$D19+$D25+$D31)</f>
        <v>351.77591666666666</v>
      </c>
      <c r="G33" s="11">
        <f>(G7*$D7+G13*$D13+G19*$D19+G25*$D25+G31*$D31)/($D7+$D13+$D19+$D25+$D31)</f>
        <v>9.0376030416666655</v>
      </c>
      <c r="H33" s="11">
        <f>AVERAGE(H7,H13,H19,H25,H31)</f>
        <v>431.19329559999994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198-2C99-461D-86CC-DE80BD602EBD}">
  <dimension ref="A1:AI33"/>
  <sheetViews>
    <sheetView topLeftCell="B1" zoomScale="115" zoomScaleNormal="115" workbookViewId="0">
      <selection activeCell="I55" sqref="I55"/>
    </sheetView>
  </sheetViews>
  <sheetFormatPr defaultRowHeight="15"/>
  <cols>
    <col min="6" max="6" width="12.28515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8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9">
        <v>313.67</v>
      </c>
      <c r="G2" s="9">
        <v>0.93687299999999996</v>
      </c>
      <c r="H2" s="9">
        <v>121.009</v>
      </c>
      <c r="M2" s="2"/>
      <c r="S2" s="2"/>
      <c r="Y2" s="2"/>
      <c r="AD2" s="3"/>
      <c r="AE2" s="2"/>
    </row>
    <row r="3" spans="1:35">
      <c r="A3">
        <v>8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9">
        <v>513.74800000000005</v>
      </c>
      <c r="G3" s="9">
        <v>100</v>
      </c>
      <c r="H3" s="9">
        <v>1800.33</v>
      </c>
      <c r="L3" s="2"/>
      <c r="R3" s="2"/>
      <c r="X3" s="2"/>
      <c r="AC3" s="3"/>
      <c r="AD3" s="2"/>
    </row>
    <row r="4" spans="1:35">
      <c r="A4">
        <v>8</v>
      </c>
      <c r="B4">
        <v>100</v>
      </c>
      <c r="C4">
        <v>3</v>
      </c>
      <c r="D4">
        <f>IF(F4&lt;9999,1,0)</f>
        <v>1</v>
      </c>
      <c r="E4">
        <f t="shared" si="0"/>
        <v>0</v>
      </c>
      <c r="F4" s="9">
        <v>961.09900000000005</v>
      </c>
      <c r="G4" s="9">
        <v>100</v>
      </c>
      <c r="H4" s="9">
        <v>1802.59</v>
      </c>
      <c r="K4" s="2"/>
      <c r="Q4" s="2"/>
      <c r="W4" s="2"/>
      <c r="AB4" s="3"/>
      <c r="AC4" s="2"/>
      <c r="AI4" s="2"/>
    </row>
    <row r="5" spans="1:35">
      <c r="A5">
        <v>8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9">
        <v>295.18200000000002</v>
      </c>
      <c r="G5" s="9">
        <v>0.31395400000000001</v>
      </c>
      <c r="H5" s="9">
        <v>189.36699999999999</v>
      </c>
      <c r="I5" s="2"/>
      <c r="J5" s="2"/>
      <c r="P5" s="2"/>
      <c r="V5" s="2"/>
      <c r="AA5" s="3"/>
      <c r="AB5" s="2"/>
      <c r="AH5" s="2"/>
    </row>
    <row r="6" spans="1:35">
      <c r="A6">
        <v>8</v>
      </c>
      <c r="B6">
        <v>100</v>
      </c>
      <c r="C6">
        <v>5</v>
      </c>
      <c r="D6">
        <f>IF(F6&lt;9999,1,0)</f>
        <v>1</v>
      </c>
      <c r="E6">
        <f t="shared" si="0"/>
        <v>0</v>
      </c>
      <c r="F6" s="9">
        <v>1164.1199999999999</v>
      </c>
      <c r="G6" s="9">
        <v>100</v>
      </c>
      <c r="H6" s="9">
        <v>1800.14</v>
      </c>
    </row>
    <row r="7" spans="1:35">
      <c r="A7" s="14" t="s">
        <v>6</v>
      </c>
      <c r="B7" s="14"/>
      <c r="C7" s="14"/>
      <c r="D7" s="8">
        <f>SUM(D2:D6)</f>
        <v>5</v>
      </c>
      <c r="E7" s="4">
        <f>SUM(E2:E6)</f>
        <v>2</v>
      </c>
      <c r="F7" s="10">
        <f>($D2*F2+$D3*F3+$D4*F4+$D5*F5+$D6*F6)/$D7</f>
        <v>649.56380000000013</v>
      </c>
      <c r="G7" s="10">
        <f>($D2*G2+$D3*G3+$D4*G4+$D5*G5+$D6*G6)/$D7</f>
        <v>60.250165399999993</v>
      </c>
      <c r="H7" s="10">
        <f>AVERAGE(H2:H6)</f>
        <v>1142.6872000000001</v>
      </c>
      <c r="N7" s="2"/>
      <c r="T7" s="2"/>
      <c r="Y7" s="3"/>
      <c r="Z7" s="2"/>
      <c r="AF7" s="2"/>
    </row>
    <row r="8" spans="1:35">
      <c r="A8">
        <v>8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582.19299999999998</v>
      </c>
      <c r="G8" s="9">
        <v>100</v>
      </c>
      <c r="H8" s="9">
        <v>1800.1</v>
      </c>
      <c r="M8" s="2"/>
      <c r="S8" s="2"/>
      <c r="X8" s="3"/>
      <c r="Y8" s="2"/>
      <c r="AE8" s="2"/>
    </row>
    <row r="9" spans="1:35">
      <c r="A9">
        <v>8</v>
      </c>
      <c r="B9">
        <v>200</v>
      </c>
      <c r="C9">
        <v>2</v>
      </c>
      <c r="D9">
        <f>IF(F9&lt;9999,1,0)</f>
        <v>1</v>
      </c>
      <c r="E9">
        <f t="shared" ref="E9:E12" si="1">IF(G9&lt;1,1,0)</f>
        <v>0</v>
      </c>
      <c r="F9" s="9">
        <v>1795.89</v>
      </c>
      <c r="G9" s="9">
        <v>100</v>
      </c>
      <c r="H9" s="9">
        <v>1804.49</v>
      </c>
      <c r="L9" s="2"/>
      <c r="R9" s="2"/>
      <c r="W9" s="3"/>
      <c r="X9" s="2"/>
      <c r="AD9" s="2"/>
    </row>
    <row r="10" spans="1:35">
      <c r="A10">
        <v>8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9">
        <v>537.70500000000004</v>
      </c>
      <c r="G10" s="9">
        <v>0.59824299999999997</v>
      </c>
      <c r="H10" s="9">
        <v>287.76600000000002</v>
      </c>
      <c r="K10" s="2"/>
      <c r="Q10" s="2"/>
      <c r="V10" s="3"/>
      <c r="W10" s="2"/>
      <c r="AC10" s="2"/>
    </row>
    <row r="11" spans="1:35">
      <c r="A11">
        <v>8</v>
      </c>
      <c r="B11">
        <v>200</v>
      </c>
      <c r="C11">
        <v>4</v>
      </c>
      <c r="D11">
        <f>IF(F11&lt;9999,1,0)</f>
        <v>0</v>
      </c>
      <c r="E11">
        <f t="shared" si="1"/>
        <v>0</v>
      </c>
      <c r="F11" s="9">
        <v>20565.099999999999</v>
      </c>
      <c r="G11" s="9">
        <v>100</v>
      </c>
      <c r="H11" s="9">
        <v>1800.43</v>
      </c>
      <c r="I11" s="2"/>
      <c r="J11" s="2"/>
      <c r="P11" s="2"/>
      <c r="U11" s="3"/>
      <c r="V11" s="2"/>
      <c r="AB11" s="2"/>
    </row>
    <row r="12" spans="1:35">
      <c r="A12">
        <v>8</v>
      </c>
      <c r="B12">
        <v>200</v>
      </c>
      <c r="C12">
        <v>5</v>
      </c>
      <c r="D12">
        <f>IF(F12&lt;9999,1,0)</f>
        <v>1</v>
      </c>
      <c r="E12">
        <f t="shared" si="1"/>
        <v>0</v>
      </c>
      <c r="F12" s="9">
        <v>1085.3599999999999</v>
      </c>
      <c r="G12" s="9">
        <v>100</v>
      </c>
      <c r="H12" s="9">
        <v>1803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4</v>
      </c>
      <c r="E13" s="4">
        <f>SUM(E8:E12)</f>
        <v>1</v>
      </c>
      <c r="F13" s="10">
        <f>($D8*F8+$D9*F9+$D10*F10+$D11*F11+$D12*F12)/$D13</f>
        <v>1000.287</v>
      </c>
      <c r="G13" s="10">
        <f>($D8*G8+$D9*G9+$D10*G10+$D11*G11+$D12*G12)/$D13</f>
        <v>75.149560750000006</v>
      </c>
      <c r="H13" s="10">
        <f>AVERAGE(H8:H12)</f>
        <v>1499.1572000000001</v>
      </c>
      <c r="N13" s="2"/>
      <c r="S13" s="3"/>
      <c r="T13" s="2"/>
      <c r="Z13" s="2"/>
    </row>
    <row r="14" spans="1:35">
      <c r="A14">
        <v>8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863.36099999999999</v>
      </c>
      <c r="G14" s="9">
        <v>100</v>
      </c>
      <c r="H14" s="9">
        <v>1800.08</v>
      </c>
      <c r="M14" s="2"/>
      <c r="R14" s="3"/>
      <c r="S14" s="2"/>
      <c r="Y14" s="2"/>
    </row>
    <row r="15" spans="1:35">
      <c r="A15">
        <v>8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0</v>
      </c>
      <c r="F15" s="9">
        <v>1886.91</v>
      </c>
      <c r="G15" s="9">
        <v>100</v>
      </c>
      <c r="H15" s="9">
        <v>1803.56</v>
      </c>
      <c r="L15" s="2"/>
      <c r="Q15" s="3"/>
      <c r="R15" s="2"/>
      <c r="X15" s="2"/>
    </row>
    <row r="16" spans="1:35">
      <c r="A16">
        <v>8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9">
        <v>374.37799999999999</v>
      </c>
      <c r="G16" s="9">
        <v>0.94996400000000003</v>
      </c>
      <c r="H16" s="9">
        <v>1606.14</v>
      </c>
      <c r="K16" s="2"/>
      <c r="P16" s="3"/>
      <c r="Q16" s="2"/>
      <c r="W16" s="2"/>
    </row>
    <row r="17" spans="1:22">
      <c r="A17">
        <v>8</v>
      </c>
      <c r="B17">
        <v>300</v>
      </c>
      <c r="C17">
        <v>4</v>
      </c>
      <c r="D17">
        <f>IF(F17&lt;9999,1,0)</f>
        <v>0</v>
      </c>
      <c r="E17">
        <f t="shared" si="2"/>
        <v>0</v>
      </c>
      <c r="F17" s="9">
        <v>30392.9</v>
      </c>
      <c r="G17" s="9">
        <v>100</v>
      </c>
      <c r="H17" s="9">
        <v>1804.53</v>
      </c>
      <c r="I17" s="2"/>
      <c r="J17" s="2"/>
      <c r="O17" s="3"/>
      <c r="P17" s="2"/>
      <c r="V17" s="2"/>
    </row>
    <row r="18" spans="1:22">
      <c r="A18">
        <v>8</v>
      </c>
      <c r="B18">
        <v>300</v>
      </c>
      <c r="C18">
        <v>5</v>
      </c>
      <c r="D18">
        <f>IF(F18&lt;9999,1,0)</f>
        <v>1</v>
      </c>
      <c r="E18">
        <f t="shared" si="2"/>
        <v>0</v>
      </c>
      <c r="F18" s="9">
        <v>855.51300000000003</v>
      </c>
      <c r="G18" s="9">
        <v>100</v>
      </c>
      <c r="H18" s="9">
        <v>1802.88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4</v>
      </c>
      <c r="E19" s="4">
        <f>SUM(E14:E18)</f>
        <v>1</v>
      </c>
      <c r="F19" s="10">
        <f>($D14*F14+$D15*F15+$D16*F16+$D17*F17+$D18*F18)/$D19</f>
        <v>995.04050000000007</v>
      </c>
      <c r="G19" s="10">
        <f>($D14*G14+$D15*G15+$D16*G16+$D17*G17+$D18*G18)/$D19</f>
        <v>75.237491000000006</v>
      </c>
      <c r="H19" s="10">
        <f>AVERAGE(H14:H18)</f>
        <v>1763.4379999999996</v>
      </c>
      <c r="M19" s="3"/>
      <c r="N19" s="2"/>
      <c r="T19" s="2"/>
    </row>
    <row r="20" spans="1:22">
      <c r="A20">
        <v>8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894.04600000000005</v>
      </c>
      <c r="G20" s="9">
        <v>100</v>
      </c>
      <c r="H20" s="9">
        <v>1804.36</v>
      </c>
      <c r="L20" s="3"/>
      <c r="M20" s="2"/>
      <c r="S20" s="2"/>
    </row>
    <row r="21" spans="1:22">
      <c r="A21">
        <v>8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1338.88</v>
      </c>
      <c r="G21" s="9">
        <v>100</v>
      </c>
      <c r="H21" s="9">
        <v>1802.12</v>
      </c>
      <c r="K21" s="3"/>
      <c r="L21" s="2"/>
      <c r="R21" s="2"/>
    </row>
    <row r="22" spans="1:22">
      <c r="A22">
        <v>8</v>
      </c>
      <c r="B22">
        <v>400</v>
      </c>
      <c r="C22">
        <v>3</v>
      </c>
      <c r="D22">
        <f>IF(F22&lt;9999,1,0)</f>
        <v>1</v>
      </c>
      <c r="E22">
        <f t="shared" si="3"/>
        <v>0</v>
      </c>
      <c r="F22" s="9">
        <v>359.59</v>
      </c>
      <c r="G22" s="9">
        <v>100</v>
      </c>
      <c r="H22" s="9">
        <v>1802</v>
      </c>
      <c r="I22" s="3"/>
      <c r="J22" s="3"/>
      <c r="K22" s="2"/>
      <c r="Q22" s="2"/>
    </row>
    <row r="23" spans="1:22">
      <c r="A23">
        <v>8</v>
      </c>
      <c r="B23">
        <v>400</v>
      </c>
      <c r="C23">
        <v>4</v>
      </c>
      <c r="D23">
        <f>IF(F23&lt;9999,1,0)</f>
        <v>0</v>
      </c>
      <c r="E23">
        <f t="shared" si="3"/>
        <v>0</v>
      </c>
      <c r="F23" s="9">
        <v>110645</v>
      </c>
      <c r="G23" s="9">
        <v>100</v>
      </c>
      <c r="H23" s="9">
        <v>1805.04</v>
      </c>
      <c r="I23" s="2"/>
      <c r="J23" s="2"/>
      <c r="P23" s="2"/>
    </row>
    <row r="24" spans="1:22">
      <c r="A24">
        <v>8</v>
      </c>
      <c r="B24">
        <v>400</v>
      </c>
      <c r="C24">
        <v>5</v>
      </c>
      <c r="D24">
        <f>IF(F24&lt;9999,1,0)</f>
        <v>1</v>
      </c>
      <c r="E24">
        <f t="shared" si="3"/>
        <v>0</v>
      </c>
      <c r="F24" s="9">
        <v>524.85400000000004</v>
      </c>
      <c r="G24" s="9">
        <v>100</v>
      </c>
      <c r="H24" s="9">
        <v>1802.26</v>
      </c>
      <c r="O24" s="2"/>
    </row>
    <row r="25" spans="1:22">
      <c r="A25" s="14" t="s">
        <v>6</v>
      </c>
      <c r="B25" s="14"/>
      <c r="C25" s="14"/>
      <c r="D25" s="8">
        <f>SUM(D20:D24)</f>
        <v>4</v>
      </c>
      <c r="E25" s="4">
        <f>SUM(E20:E24)</f>
        <v>0</v>
      </c>
      <c r="F25" s="10">
        <f>($D20*F20+$D21*F21+$D22*F22+$D23*F23+$D24*F24)/$D25</f>
        <v>779.3425000000002</v>
      </c>
      <c r="G25" s="10">
        <f>($D20*G20+$D21*G21+$D22*G22+$D23*G23+$D24*G24)/$D25</f>
        <v>100</v>
      </c>
      <c r="H25" s="10">
        <f>AVERAGE(H20:H24)</f>
        <v>1803.1559999999997</v>
      </c>
      <c r="N25" s="2"/>
    </row>
    <row r="26" spans="1:22">
      <c r="A26">
        <v>8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914.70699999999999</v>
      </c>
      <c r="G26" s="9">
        <v>100</v>
      </c>
      <c r="H26" s="9">
        <v>1803.39</v>
      </c>
      <c r="M26" s="2"/>
    </row>
    <row r="27" spans="1:22">
      <c r="A27">
        <v>8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0</v>
      </c>
      <c r="F27" s="9">
        <v>589.60500000000002</v>
      </c>
      <c r="G27" s="9">
        <v>100</v>
      </c>
      <c r="H27" s="9">
        <v>1803.64</v>
      </c>
      <c r="L27" s="2"/>
    </row>
    <row r="28" spans="1:22">
      <c r="A28">
        <v>8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9">
        <v>1236.79</v>
      </c>
      <c r="G28" s="9">
        <v>100</v>
      </c>
      <c r="H28" s="9">
        <v>1800.19</v>
      </c>
      <c r="K28" s="2"/>
    </row>
    <row r="29" spans="1:22">
      <c r="A29">
        <v>8</v>
      </c>
      <c r="B29">
        <v>500</v>
      </c>
      <c r="C29">
        <v>4</v>
      </c>
      <c r="D29">
        <f>IF(F29&lt;9999,1,0)</f>
        <v>1</v>
      </c>
      <c r="E29">
        <f t="shared" si="4"/>
        <v>0</v>
      </c>
      <c r="F29" s="9">
        <v>892.15</v>
      </c>
      <c r="G29" s="9">
        <v>100</v>
      </c>
      <c r="H29" s="9">
        <v>1801.72</v>
      </c>
      <c r="I29" s="2"/>
      <c r="J29" s="2"/>
    </row>
    <row r="30" spans="1:22">
      <c r="A30">
        <v>8</v>
      </c>
      <c r="B30">
        <v>500</v>
      </c>
      <c r="C30">
        <v>5</v>
      </c>
      <c r="D30">
        <f>IF(F30&lt;9999,1,0)</f>
        <v>1</v>
      </c>
      <c r="E30">
        <f t="shared" si="4"/>
        <v>0</v>
      </c>
      <c r="F30" s="9">
        <v>564.245</v>
      </c>
      <c r="G30" s="9">
        <v>100</v>
      </c>
      <c r="H30" s="9">
        <v>1804.43</v>
      </c>
    </row>
    <row r="31" spans="1:22">
      <c r="A31" s="14" t="s">
        <v>6</v>
      </c>
      <c r="B31" s="14"/>
      <c r="C31" s="14"/>
      <c r="D31" s="8">
        <f>SUM(D26:D30)</f>
        <v>5</v>
      </c>
      <c r="E31" s="4">
        <f>SUM(E26:E30)</f>
        <v>0</v>
      </c>
      <c r="F31" s="10">
        <f>($D26*F26+$D27*F27+$D28*F28+$D29*F29+$D30*F30)/$D31</f>
        <v>839.49940000000004</v>
      </c>
      <c r="G31" s="10">
        <f>($D26*G26+$D27*G27+$D28*G28+$D29*G29+$D30*G30)/$D31</f>
        <v>100</v>
      </c>
      <c r="H31" s="10">
        <f>AVERAGE(H26:H30)</f>
        <v>1802.6740000000002</v>
      </c>
    </row>
    <row r="33" spans="1:8">
      <c r="A33" s="13" t="s">
        <v>8</v>
      </c>
      <c r="B33" s="13"/>
      <c r="C33" s="13"/>
      <c r="D33" s="2">
        <f>SUM(D7,D13,D19,D25,D31)</f>
        <v>22</v>
      </c>
      <c r="E33" s="2">
        <f>SUM(E7,E13,E19,E25,E31)</f>
        <v>4</v>
      </c>
      <c r="F33" s="11">
        <f>(F7*$D7+F13*$D13+F19*$D19+F25*$D25+F31*$D31)/($D7+$D13+$D19+$D25+$D31)</f>
        <v>842.90890909090922</v>
      </c>
      <c r="G33" s="11">
        <f>(G7*$D7+G13*$D13+G19*$D19+G25*$D25+G31*$D31)/($D7+$D13+$D19+$D25+$D31)</f>
        <v>81.945410636363647</v>
      </c>
      <c r="H33" s="11">
        <f>AVERAGE(H7,H13,H19,H25,H31)</f>
        <v>1602.2224799999999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CFB0-FB2D-45FB-956D-37EA2EF91C38}">
  <dimension ref="A1:AI35"/>
  <sheetViews>
    <sheetView tabSelected="1" workbookViewId="0">
      <selection activeCell="I55" sqref="I55"/>
    </sheetView>
  </sheetViews>
  <sheetFormatPr defaultRowHeight="15"/>
  <cols>
    <col min="6" max="6" width="12.28515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10</v>
      </c>
      <c r="B2">
        <v>100</v>
      </c>
      <c r="C2">
        <v>1</v>
      </c>
      <c r="D2">
        <f>IF(F2&lt;9999,1,0)</f>
        <v>0</v>
      </c>
      <c r="E2">
        <f>IF(G2&lt;1,1,0)</f>
        <v>0</v>
      </c>
      <c r="F2" s="9">
        <v>40626.5</v>
      </c>
      <c r="G2" s="9">
        <v>100</v>
      </c>
      <c r="H2" s="9">
        <v>1802.76</v>
      </c>
      <c r="M2" s="2"/>
      <c r="S2" s="2"/>
      <c r="Y2" s="2"/>
      <c r="AD2" s="3"/>
      <c r="AE2" s="2"/>
    </row>
    <row r="3" spans="1:35">
      <c r="A3">
        <v>10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9">
        <v>1046.57</v>
      </c>
      <c r="G3" s="9">
        <v>100</v>
      </c>
      <c r="H3" s="9">
        <v>1803.41</v>
      </c>
      <c r="L3" s="2"/>
      <c r="R3" s="2"/>
      <c r="X3" s="2"/>
      <c r="AC3" s="3"/>
      <c r="AD3" s="2"/>
    </row>
    <row r="4" spans="1:35">
      <c r="A4">
        <v>10</v>
      </c>
      <c r="B4">
        <v>100</v>
      </c>
      <c r="C4">
        <v>3</v>
      </c>
      <c r="D4">
        <f>IF(F4&lt;9999,1,0)</f>
        <v>1</v>
      </c>
      <c r="E4">
        <f t="shared" si="0"/>
        <v>0</v>
      </c>
      <c r="F4" s="9">
        <v>475.47300000000001</v>
      </c>
      <c r="G4" s="9">
        <v>100</v>
      </c>
      <c r="H4" s="9">
        <v>1803.34</v>
      </c>
      <c r="K4" s="2"/>
      <c r="Q4" s="2"/>
      <c r="W4" s="2"/>
      <c r="AB4" s="3"/>
      <c r="AC4" s="2"/>
      <c r="AI4" s="2"/>
    </row>
    <row r="5" spans="1:35">
      <c r="A5">
        <v>10</v>
      </c>
      <c r="B5">
        <v>100</v>
      </c>
      <c r="C5">
        <v>4</v>
      </c>
      <c r="D5">
        <f>IF(F5&lt;9999,1,0)</f>
        <v>0</v>
      </c>
      <c r="E5">
        <f t="shared" si="0"/>
        <v>0</v>
      </c>
      <c r="F5" s="9">
        <v>30437.1</v>
      </c>
      <c r="G5" s="9">
        <v>100</v>
      </c>
      <c r="H5" s="9">
        <v>1803.75</v>
      </c>
      <c r="I5" s="2"/>
      <c r="J5" s="2"/>
      <c r="P5" s="2"/>
      <c r="V5" s="2"/>
      <c r="AA5" s="3"/>
      <c r="AB5" s="2"/>
      <c r="AH5" s="2"/>
    </row>
    <row r="6" spans="1:35">
      <c r="A6">
        <v>10</v>
      </c>
      <c r="B6">
        <v>100</v>
      </c>
      <c r="C6">
        <v>5</v>
      </c>
      <c r="D6">
        <f>IF(F6&lt;9999,1,0)</f>
        <v>1</v>
      </c>
      <c r="E6">
        <f t="shared" si="0"/>
        <v>0</v>
      </c>
      <c r="F6" s="9">
        <v>583.625</v>
      </c>
      <c r="G6" s="9">
        <v>100</v>
      </c>
      <c r="H6" s="9">
        <v>1802.87</v>
      </c>
    </row>
    <row r="7" spans="1:35">
      <c r="A7" s="14" t="s">
        <v>6</v>
      </c>
      <c r="B7" s="14"/>
      <c r="C7" s="14"/>
      <c r="D7" s="8">
        <f>SUM(D2:D6)</f>
        <v>3</v>
      </c>
      <c r="E7" s="4">
        <f>SUM(E2:E6)</f>
        <v>0</v>
      </c>
      <c r="F7" s="10">
        <f>($D2*F2+$D3*F3+$D4*F4+$D5*F5+$D6*F6)/$D7</f>
        <v>701.88933333333318</v>
      </c>
      <c r="G7" s="10">
        <f>($D2*G2+$D3*G3+$D4*G4+$D5*G5+$D6*G6)/$D7</f>
        <v>100</v>
      </c>
      <c r="H7" s="10">
        <f>AVERAGE(H2:H6)</f>
        <v>1803.2260000000001</v>
      </c>
      <c r="N7" s="2"/>
      <c r="T7" s="2"/>
      <c r="Y7" s="3"/>
      <c r="Z7" s="2"/>
      <c r="AF7" s="2"/>
    </row>
    <row r="8" spans="1:35">
      <c r="A8">
        <v>10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9">
        <v>1486.01</v>
      </c>
      <c r="G8" s="9">
        <v>100</v>
      </c>
      <c r="H8" s="9">
        <v>1800.41</v>
      </c>
      <c r="M8" s="2"/>
      <c r="S8" s="2"/>
      <c r="X8" s="3"/>
      <c r="Y8" s="2"/>
      <c r="AE8" s="2"/>
    </row>
    <row r="9" spans="1:35">
      <c r="A9">
        <v>10</v>
      </c>
      <c r="B9">
        <v>200</v>
      </c>
      <c r="C9">
        <v>2</v>
      </c>
      <c r="D9">
        <f>IF(F9&lt;9999,1,0)</f>
        <v>1</v>
      </c>
      <c r="E9">
        <f t="shared" ref="E9:E12" si="1">IF(G9&lt;1,1,0)</f>
        <v>0</v>
      </c>
      <c r="F9" s="9">
        <v>333.10700000000003</v>
      </c>
      <c r="G9" s="9">
        <v>100</v>
      </c>
      <c r="H9" s="9">
        <v>1802.19</v>
      </c>
      <c r="L9" s="2"/>
      <c r="R9" s="2"/>
      <c r="W9" s="3"/>
      <c r="X9" s="2"/>
      <c r="AD9" s="2"/>
    </row>
    <row r="10" spans="1:35">
      <c r="A10">
        <v>10</v>
      </c>
      <c r="B10">
        <v>200</v>
      </c>
      <c r="C10">
        <v>3</v>
      </c>
      <c r="D10">
        <f>IF(F10&lt;9999,1,0)</f>
        <v>0</v>
      </c>
      <c r="E10">
        <f t="shared" si="1"/>
        <v>0</v>
      </c>
      <c r="F10" s="9">
        <v>30538.1</v>
      </c>
      <c r="G10" s="9">
        <v>100</v>
      </c>
      <c r="H10" s="9">
        <v>1803.42</v>
      </c>
      <c r="K10" s="2"/>
      <c r="Q10" s="2"/>
      <c r="V10" s="3"/>
      <c r="W10" s="2"/>
      <c r="AC10" s="2"/>
    </row>
    <row r="11" spans="1:35">
      <c r="A11">
        <v>10</v>
      </c>
      <c r="B11">
        <v>200</v>
      </c>
      <c r="C11">
        <v>4</v>
      </c>
      <c r="D11">
        <f>IF(F11&lt;9999,1,0)</f>
        <v>1</v>
      </c>
      <c r="E11">
        <f t="shared" si="1"/>
        <v>0</v>
      </c>
      <c r="F11" s="9">
        <v>1075.8800000000001</v>
      </c>
      <c r="G11" s="9">
        <v>100</v>
      </c>
      <c r="H11" s="9">
        <v>1802.8</v>
      </c>
      <c r="I11" s="2"/>
      <c r="J11" s="2"/>
      <c r="P11" s="2"/>
      <c r="U11" s="3"/>
      <c r="V11" s="2"/>
      <c r="AB11" s="2"/>
    </row>
    <row r="12" spans="1:35">
      <c r="A12">
        <v>10</v>
      </c>
      <c r="B12">
        <v>200</v>
      </c>
      <c r="C12">
        <v>5</v>
      </c>
      <c r="D12">
        <f>IF(F12&lt;9999,1,0)</f>
        <v>1</v>
      </c>
      <c r="E12">
        <f t="shared" si="1"/>
        <v>0</v>
      </c>
      <c r="F12" s="9">
        <v>1294.4100000000001</v>
      </c>
      <c r="G12" s="9">
        <v>100</v>
      </c>
      <c r="H12" s="9">
        <v>1801.6</v>
      </c>
      <c r="O12" s="2"/>
      <c r="U12" s="2"/>
      <c r="AA12" s="2"/>
    </row>
    <row r="13" spans="1:35">
      <c r="A13" s="14" t="s">
        <v>6</v>
      </c>
      <c r="B13" s="14"/>
      <c r="C13" s="14"/>
      <c r="D13" s="8">
        <f>SUM(D8:D12)</f>
        <v>4</v>
      </c>
      <c r="E13" s="4">
        <f>SUM(E8:E12)</f>
        <v>0</v>
      </c>
      <c r="F13" s="10">
        <f>($D8*F8+$D9*F9+$D10*F10+$D11*F11+$D12*F12)/$D13</f>
        <v>1047.35175</v>
      </c>
      <c r="G13" s="10">
        <f>($D8*G8+$D9*G9+$D10*G10+$D11*G11+$D12*G12)/$D13</f>
        <v>100</v>
      </c>
      <c r="H13" s="10">
        <f>AVERAGE(H8:H12)</f>
        <v>1802.0840000000001</v>
      </c>
      <c r="N13" s="2"/>
      <c r="S13" s="3"/>
      <c r="T13" s="2"/>
      <c r="Z13" s="2"/>
    </row>
    <row r="14" spans="1:35">
      <c r="A14">
        <v>10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9">
        <v>1482.23</v>
      </c>
      <c r="G14" s="9">
        <v>100</v>
      </c>
      <c r="H14" s="9">
        <v>1800.35</v>
      </c>
      <c r="M14" s="2"/>
      <c r="R14" s="3"/>
      <c r="S14" s="2"/>
      <c r="Y14" s="2"/>
    </row>
    <row r="15" spans="1:35">
      <c r="A15">
        <v>10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0</v>
      </c>
      <c r="F15" s="9">
        <v>977.96199999999999</v>
      </c>
      <c r="G15" s="9">
        <v>100</v>
      </c>
      <c r="H15" s="9">
        <v>1803.13</v>
      </c>
      <c r="L15" s="2"/>
      <c r="Q15" s="3"/>
      <c r="R15" s="2"/>
      <c r="X15" s="2"/>
    </row>
    <row r="16" spans="1:35">
      <c r="A16">
        <v>10</v>
      </c>
      <c r="B16">
        <v>300</v>
      </c>
      <c r="C16">
        <v>3</v>
      </c>
      <c r="D16">
        <f>IF(F16&lt;9999,1,0)</f>
        <v>0</v>
      </c>
      <c r="E16">
        <f t="shared" si="2"/>
        <v>0</v>
      </c>
      <c r="F16" s="9">
        <v>20351</v>
      </c>
      <c r="G16" s="9">
        <v>100</v>
      </c>
      <c r="H16" s="9">
        <v>1805.1</v>
      </c>
      <c r="K16" s="2"/>
      <c r="P16" s="3"/>
      <c r="Q16" s="2"/>
      <c r="W16" s="2"/>
    </row>
    <row r="17" spans="1:22">
      <c r="A17">
        <v>10</v>
      </c>
      <c r="B17">
        <v>300</v>
      </c>
      <c r="C17">
        <v>4</v>
      </c>
      <c r="D17">
        <f>IF(F17&lt;9999,1,0)</f>
        <v>0</v>
      </c>
      <c r="E17">
        <f t="shared" si="2"/>
        <v>0</v>
      </c>
      <c r="F17" s="9">
        <v>10816.3</v>
      </c>
      <c r="G17" s="9">
        <v>100</v>
      </c>
      <c r="H17" s="9">
        <v>1801.91</v>
      </c>
      <c r="I17" s="2"/>
      <c r="J17" s="2"/>
      <c r="O17" s="3"/>
      <c r="P17" s="2"/>
      <c r="V17" s="2"/>
    </row>
    <row r="18" spans="1:22">
      <c r="A18">
        <v>10</v>
      </c>
      <c r="B18">
        <v>300</v>
      </c>
      <c r="C18">
        <v>5</v>
      </c>
      <c r="D18">
        <f>IF(F18&lt;9999,1,0)</f>
        <v>1</v>
      </c>
      <c r="E18">
        <f t="shared" si="2"/>
        <v>0</v>
      </c>
      <c r="F18" s="9">
        <v>940.51800000000003</v>
      </c>
      <c r="G18" s="9">
        <v>100</v>
      </c>
      <c r="H18" s="9">
        <v>1800.29</v>
      </c>
      <c r="O18" s="2"/>
      <c r="U18" s="2"/>
    </row>
    <row r="19" spans="1:22">
      <c r="A19" s="14" t="s">
        <v>6</v>
      </c>
      <c r="B19" s="14"/>
      <c r="C19" s="14"/>
      <c r="D19" s="8">
        <f>SUM(D14:D18)</f>
        <v>3</v>
      </c>
      <c r="E19" s="4">
        <f>SUM(E14:E18)</f>
        <v>0</v>
      </c>
      <c r="F19" s="10">
        <f>($D14*F14+$D15*F15+$D16*F16+$D17*F17+$D18*F18)/$D19</f>
        <v>1133.57</v>
      </c>
      <c r="G19" s="10">
        <f>($D14*G14+$D15*G15+$D16*G16+$D17*G17+$D18*G18)/$D19</f>
        <v>100</v>
      </c>
      <c r="H19" s="10">
        <f>AVERAGE(H14:H18)</f>
        <v>1802.1559999999997</v>
      </c>
      <c r="M19" s="3"/>
      <c r="N19" s="2"/>
      <c r="T19" s="2"/>
    </row>
    <row r="20" spans="1:22">
      <c r="A20">
        <v>10</v>
      </c>
      <c r="B20">
        <v>400</v>
      </c>
      <c r="C20">
        <v>1</v>
      </c>
      <c r="D20">
        <f>IF(F20&lt;9999,1,0)</f>
        <v>1</v>
      </c>
      <c r="E20">
        <f>IF(G20&lt;1,1,0)</f>
        <v>0</v>
      </c>
      <c r="F20" s="9">
        <v>1461.03</v>
      </c>
      <c r="G20" s="9">
        <v>100</v>
      </c>
      <c r="H20" s="9">
        <v>1805.13</v>
      </c>
      <c r="L20" s="3"/>
      <c r="M20" s="2"/>
      <c r="S20" s="2"/>
    </row>
    <row r="21" spans="1:22">
      <c r="A21">
        <v>10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0</v>
      </c>
      <c r="F21" s="9">
        <v>1344.89</v>
      </c>
      <c r="G21" s="9">
        <v>100</v>
      </c>
      <c r="H21" s="9">
        <v>1804.7</v>
      </c>
      <c r="K21" s="3"/>
      <c r="L21" s="2"/>
      <c r="R21" s="2"/>
    </row>
    <row r="22" spans="1:22">
      <c r="A22">
        <v>10</v>
      </c>
      <c r="B22">
        <v>400</v>
      </c>
      <c r="C22">
        <v>3</v>
      </c>
      <c r="D22">
        <f>IF(F22&lt;9999,1,0)</f>
        <v>0</v>
      </c>
      <c r="E22">
        <f t="shared" si="3"/>
        <v>0</v>
      </c>
      <c r="F22" s="9">
        <v>11335.3</v>
      </c>
      <c r="G22" s="9">
        <v>100</v>
      </c>
      <c r="H22" s="9">
        <v>1802.58</v>
      </c>
      <c r="I22" s="3"/>
      <c r="J22" s="3"/>
      <c r="K22" s="2"/>
      <c r="Q22" s="2"/>
    </row>
    <row r="23" spans="1:22">
      <c r="A23">
        <v>10</v>
      </c>
      <c r="B23">
        <v>400</v>
      </c>
      <c r="C23">
        <v>4</v>
      </c>
      <c r="D23">
        <f>IF(F23&lt;9999,1,0)</f>
        <v>0</v>
      </c>
      <c r="E23">
        <f t="shared" si="3"/>
        <v>0</v>
      </c>
      <c r="F23" s="9">
        <v>20758.099999999999</v>
      </c>
      <c r="G23" s="9">
        <v>100</v>
      </c>
      <c r="H23" s="9">
        <v>1803.2</v>
      </c>
      <c r="I23" s="2"/>
      <c r="J23" s="2"/>
      <c r="P23" s="2"/>
    </row>
    <row r="24" spans="1:22">
      <c r="A24">
        <v>10</v>
      </c>
      <c r="B24">
        <v>400</v>
      </c>
      <c r="C24">
        <v>5</v>
      </c>
      <c r="D24">
        <f>IF(F24&lt;9999,1,0)</f>
        <v>1</v>
      </c>
      <c r="E24">
        <f t="shared" si="3"/>
        <v>0</v>
      </c>
      <c r="F24" s="9">
        <v>617.26099999999997</v>
      </c>
      <c r="G24" s="9">
        <v>100</v>
      </c>
      <c r="H24" s="9">
        <v>1805.68</v>
      </c>
      <c r="O24" s="2"/>
    </row>
    <row r="25" spans="1:22">
      <c r="A25" s="14" t="s">
        <v>6</v>
      </c>
      <c r="B25" s="14"/>
      <c r="C25" s="14"/>
      <c r="D25" s="8">
        <f>SUM(D20:D24)</f>
        <v>3</v>
      </c>
      <c r="E25" s="4">
        <f>SUM(E20:E24)</f>
        <v>0</v>
      </c>
      <c r="F25" s="10">
        <f>($D20*F20+$D21*F21+$D22*F22+$D23*F23+$D24*F24)/$D25</f>
        <v>1141.0603333333333</v>
      </c>
      <c r="G25" s="10">
        <f>($D20*G20+$D21*G21+$D22*G22+$D23*G23+$D24*G24)/$D25</f>
        <v>100</v>
      </c>
      <c r="H25" s="10">
        <f>AVERAGE(H20:H24)</f>
        <v>1804.2579999999998</v>
      </c>
      <c r="N25" s="2"/>
    </row>
    <row r="26" spans="1:22">
      <c r="A26">
        <v>10</v>
      </c>
      <c r="B26">
        <v>500</v>
      </c>
      <c r="C26">
        <v>1</v>
      </c>
      <c r="D26">
        <f>IF(F26&lt;9999,1,0)</f>
        <v>1</v>
      </c>
      <c r="E26">
        <f>IF(G26&lt;1,1,0)</f>
        <v>0</v>
      </c>
      <c r="F26" s="9">
        <v>1353.74</v>
      </c>
      <c r="G26" s="9">
        <v>100</v>
      </c>
      <c r="H26" s="9">
        <v>1800.16</v>
      </c>
      <c r="M26" s="2"/>
    </row>
    <row r="27" spans="1:22">
      <c r="A27">
        <v>10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0</v>
      </c>
      <c r="F27" s="9">
        <v>1725.36</v>
      </c>
      <c r="G27" s="9">
        <v>100</v>
      </c>
      <c r="H27" s="9">
        <v>1802.21</v>
      </c>
      <c r="L27" s="2"/>
    </row>
    <row r="28" spans="1:22">
      <c r="A28">
        <v>10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9">
        <v>942.51700000000005</v>
      </c>
      <c r="G28" s="9">
        <v>100</v>
      </c>
      <c r="H28" s="9">
        <v>1804.75</v>
      </c>
      <c r="K28" s="2"/>
    </row>
    <row r="29" spans="1:22">
      <c r="A29">
        <v>10</v>
      </c>
      <c r="B29">
        <v>500</v>
      </c>
      <c r="C29">
        <v>4</v>
      </c>
      <c r="D29">
        <f>IF(F29&lt;9999,1,0)</f>
        <v>1</v>
      </c>
      <c r="E29">
        <f t="shared" si="4"/>
        <v>0</v>
      </c>
      <c r="F29" s="9">
        <v>361.35700000000003</v>
      </c>
      <c r="G29" s="9">
        <v>100</v>
      </c>
      <c r="H29" s="9">
        <v>1804.28</v>
      </c>
      <c r="I29" s="2"/>
      <c r="J29" s="2"/>
    </row>
    <row r="30" spans="1:22">
      <c r="A30">
        <v>10</v>
      </c>
      <c r="B30">
        <v>500</v>
      </c>
      <c r="C30">
        <v>5</v>
      </c>
      <c r="D30">
        <f>IF(F30&lt;9999,1,0)</f>
        <v>0</v>
      </c>
      <c r="E30">
        <f t="shared" si="4"/>
        <v>0</v>
      </c>
      <c r="F30" s="9">
        <v>20610.3</v>
      </c>
      <c r="G30" s="9">
        <v>100</v>
      </c>
      <c r="H30" s="9">
        <v>1803.54</v>
      </c>
    </row>
    <row r="31" spans="1:22">
      <c r="A31" s="14" t="s">
        <v>6</v>
      </c>
      <c r="B31" s="14"/>
      <c r="C31" s="14"/>
      <c r="D31" s="8">
        <f>SUM(D26:D30)</f>
        <v>4</v>
      </c>
      <c r="E31" s="4">
        <f>SUM(E26:E30)</f>
        <v>0</v>
      </c>
      <c r="F31" s="10">
        <f>($D26*F26+$D27*F27+$D28*F28+$D29*F29+$D30*F30)/$D31</f>
        <v>1095.7435</v>
      </c>
      <c r="G31" s="10">
        <f>($D26*G26+$D27*G27+$D28*G28+$D29*G29+$D30*G30)/$D31</f>
        <v>100</v>
      </c>
      <c r="H31" s="10">
        <f>AVERAGE(H26:H30)</f>
        <v>1802.9879999999998</v>
      </c>
    </row>
    <row r="33" spans="1:8">
      <c r="A33" s="13" t="s">
        <v>8</v>
      </c>
      <c r="B33" s="13"/>
      <c r="C33" s="13"/>
      <c r="D33" s="2">
        <f>SUM(D7,D13,D19,D25,D31)</f>
        <v>17</v>
      </c>
      <c r="E33" s="2">
        <f>SUM(E7,E13,E19,E25,E31)</f>
        <v>0</v>
      </c>
      <c r="F33" s="11">
        <f>(F7*$D7+F13*$D13+F19*$D19+F25*$D25+F31*$D31)/($D7+$D13+$D19+$D25+$D31)</f>
        <v>1029.5258823529414</v>
      </c>
      <c r="G33" s="11">
        <f>(G7*$D7+G13*$D13+G19*$D19+G25*$D25+G31*$D31)/($D7+$D13+$D19+$D25+$D31)</f>
        <v>100</v>
      </c>
      <c r="H33" s="11">
        <f>AVERAGE(H7,H13,H19,H25,H31)</f>
        <v>1802.9423999999999</v>
      </c>
    </row>
    <row r="35" spans="1:8">
      <c r="A35" s="15" t="s">
        <v>9</v>
      </c>
      <c r="B35" s="15"/>
      <c r="C35" s="15"/>
      <c r="D35" s="7">
        <f>SUM('B2'!D33,'B4'!D33,'B6'!D33,'B8'!D33,'B10'!D33)</f>
        <v>113</v>
      </c>
      <c r="E35" s="7">
        <f>SUM('B2'!E33,'B4'!E33,'B6'!E33,'B8'!E33,'B10'!E33)</f>
        <v>75</v>
      </c>
      <c r="F35" s="12">
        <f>('B2'!F33*'B2'!D33+'B4'!F33*'B4'!D33+'B6'!F33*'B6'!D33+'B8'!F33*'B8'!D33+'B10'!F33*'B10'!D33)/'B10'!D35</f>
        <v>470.56993628318588</v>
      </c>
      <c r="G35" s="12">
        <f>('B2'!G33*'B2'!D33+'B4'!G33*'B4'!D33+'B6'!G33*'B6'!D33+'B8'!G33*'B8'!D33+'B10'!G33*'B10'!D33)/D35</f>
        <v>33.087580372566372</v>
      </c>
      <c r="H35" s="12">
        <f>AVERAGE('B2'!H33,'B4'!H33,'B6'!H33,'B8'!H33,'B10'!H33)</f>
        <v>768.89870715999996</v>
      </c>
    </row>
  </sheetData>
  <mergeCells count="7">
    <mergeCell ref="A33:C33"/>
    <mergeCell ref="A35:C35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</vt:lpstr>
      <vt:lpstr>B4</vt:lpstr>
      <vt:lpstr>B6</vt:lpstr>
      <vt:lpstr>B8</vt:lpstr>
      <vt:lpstr>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Lingxiao Leo [AAE]</dc:creator>
  <cp:lastModifiedBy>WU, Lingxiao Leo [AAE]</cp:lastModifiedBy>
  <dcterms:created xsi:type="dcterms:W3CDTF">2015-06-05T18:17:20Z</dcterms:created>
  <dcterms:modified xsi:type="dcterms:W3CDTF">2026-05-13T08:52:31Z</dcterms:modified>
</cp:coreProperties>
</file>