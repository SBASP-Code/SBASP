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SBASP\Results\Newdominance\"/>
    </mc:Choice>
  </mc:AlternateContent>
  <xr:revisionPtr revIDLastSave="0" documentId="13_ncr:1_{554CA5BD-39B0-4E7B-B390-6FB1EC835936}" xr6:coauthVersionLast="36" xr6:coauthVersionMax="47" xr10:uidLastSave="{00000000-0000-0000-0000-000000000000}"/>
  <bookViews>
    <workbookView xWindow="6810" yWindow="210" windowWidth="17070" windowHeight="11895" activeTab="4" xr2:uid="{00000000-000D-0000-FFFF-FFFF00000000}"/>
  </bookViews>
  <sheets>
    <sheet name="B2" sheetId="1" r:id="rId1"/>
    <sheet name="B4" sheetId="2" r:id="rId2"/>
    <sheet name="B6" sheetId="3" r:id="rId3"/>
    <sheet name="B8" sheetId="4" r:id="rId4"/>
    <sheet name="B1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G25" i="1"/>
  <c r="F25" i="1"/>
  <c r="H19" i="1"/>
  <c r="G19" i="1"/>
  <c r="F19" i="1"/>
  <c r="H13" i="1"/>
  <c r="G13" i="1"/>
  <c r="F13" i="1"/>
  <c r="H7" i="1"/>
  <c r="G7" i="1"/>
  <c r="F7" i="1"/>
  <c r="H25" i="2"/>
  <c r="G25" i="2"/>
  <c r="F25" i="2"/>
  <c r="H19" i="2"/>
  <c r="G19" i="2"/>
  <c r="F19" i="2"/>
  <c r="H13" i="2"/>
  <c r="G13" i="2"/>
  <c r="F13" i="2"/>
  <c r="H7" i="2"/>
  <c r="G7" i="2"/>
  <c r="F7" i="2"/>
  <c r="H25" i="3"/>
  <c r="G25" i="3"/>
  <c r="F25" i="3"/>
  <c r="H19" i="3"/>
  <c r="G19" i="3"/>
  <c r="F19" i="3"/>
  <c r="H13" i="3"/>
  <c r="G13" i="3"/>
  <c r="F13" i="3"/>
  <c r="H7" i="3"/>
  <c r="G7" i="3"/>
  <c r="F7" i="3"/>
  <c r="H25" i="4"/>
  <c r="G25" i="4"/>
  <c r="F25" i="4"/>
  <c r="H19" i="4"/>
  <c r="G19" i="4"/>
  <c r="F19" i="4"/>
  <c r="H13" i="4"/>
  <c r="G13" i="4"/>
  <c r="F13" i="4"/>
  <c r="H7" i="4"/>
  <c r="G7" i="4"/>
  <c r="F7" i="4"/>
  <c r="H7" i="5"/>
  <c r="G7" i="5"/>
  <c r="F7" i="5"/>
  <c r="H13" i="5"/>
  <c r="G13" i="5"/>
  <c r="F13" i="5"/>
  <c r="H19" i="5"/>
  <c r="G19" i="5"/>
  <c r="F19" i="5"/>
  <c r="H25" i="5"/>
  <c r="G25" i="5"/>
  <c r="F25" i="5"/>
  <c r="H31" i="5" l="1"/>
  <c r="H33" i="5" s="1"/>
  <c r="H31" i="4"/>
  <c r="H33" i="4" s="1"/>
  <c r="H31" i="3"/>
  <c r="H33" i="3"/>
  <c r="H31" i="2"/>
  <c r="H31" i="1"/>
  <c r="H33" i="2" l="1"/>
  <c r="D30" i="5"/>
  <c r="D29" i="5"/>
  <c r="D28" i="5"/>
  <c r="D27" i="5"/>
  <c r="D26" i="5"/>
  <c r="D24" i="5"/>
  <c r="D23" i="5"/>
  <c r="D22" i="5"/>
  <c r="D21" i="5"/>
  <c r="D20" i="5"/>
  <c r="D18" i="5"/>
  <c r="D17" i="5"/>
  <c r="D16" i="5"/>
  <c r="D15" i="5"/>
  <c r="D14" i="5"/>
  <c r="D12" i="5"/>
  <c r="D11" i="5"/>
  <c r="D10" i="5"/>
  <c r="D9" i="5"/>
  <c r="D8" i="5"/>
  <c r="D6" i="5"/>
  <c r="D5" i="5"/>
  <c r="D4" i="5"/>
  <c r="D3" i="5"/>
  <c r="D2" i="5"/>
  <c r="D30" i="4"/>
  <c r="D29" i="4"/>
  <c r="D28" i="4"/>
  <c r="D27" i="4"/>
  <c r="D26" i="4"/>
  <c r="D24" i="4"/>
  <c r="D23" i="4"/>
  <c r="D22" i="4"/>
  <c r="D21" i="4"/>
  <c r="D20" i="4"/>
  <c r="D18" i="4"/>
  <c r="D17" i="4"/>
  <c r="D16" i="4"/>
  <c r="D15" i="4"/>
  <c r="D14" i="4"/>
  <c r="D12" i="4"/>
  <c r="D11" i="4"/>
  <c r="D10" i="4"/>
  <c r="D9" i="4"/>
  <c r="D8" i="4"/>
  <c r="D6" i="4"/>
  <c r="D5" i="4"/>
  <c r="D4" i="4"/>
  <c r="D3" i="4"/>
  <c r="D2" i="4"/>
  <c r="D30" i="3"/>
  <c r="D29" i="3"/>
  <c r="D28" i="3"/>
  <c r="D27" i="3"/>
  <c r="D26" i="3"/>
  <c r="D24" i="3"/>
  <c r="D23" i="3"/>
  <c r="D22" i="3"/>
  <c r="D21" i="3"/>
  <c r="D20" i="3"/>
  <c r="D18" i="3"/>
  <c r="D17" i="3"/>
  <c r="D16" i="3"/>
  <c r="D15" i="3"/>
  <c r="D14" i="3"/>
  <c r="D12" i="3"/>
  <c r="D11" i="3"/>
  <c r="D10" i="3"/>
  <c r="D9" i="3"/>
  <c r="D8" i="3"/>
  <c r="D6" i="3"/>
  <c r="D5" i="3"/>
  <c r="D4" i="3"/>
  <c r="D3" i="3"/>
  <c r="D2" i="3"/>
  <c r="D30" i="2"/>
  <c r="D29" i="2"/>
  <c r="D28" i="2"/>
  <c r="D27" i="2"/>
  <c r="D26" i="2"/>
  <c r="D24" i="2"/>
  <c r="D23" i="2"/>
  <c r="D22" i="2"/>
  <c r="D21" i="2"/>
  <c r="D20" i="2"/>
  <c r="D18" i="2"/>
  <c r="D17" i="2"/>
  <c r="D16" i="2"/>
  <c r="D15" i="2"/>
  <c r="D14" i="2"/>
  <c r="D12" i="2"/>
  <c r="D11" i="2"/>
  <c r="D10" i="2"/>
  <c r="D9" i="2"/>
  <c r="D8" i="2"/>
  <c r="D6" i="2"/>
  <c r="D5" i="2"/>
  <c r="D4" i="2"/>
  <c r="D3" i="2"/>
  <c r="D2" i="2"/>
  <c r="D30" i="1"/>
  <c r="D29" i="1"/>
  <c r="D28" i="1"/>
  <c r="D27" i="1"/>
  <c r="D26" i="1"/>
  <c r="D24" i="1"/>
  <c r="D23" i="1"/>
  <c r="D22" i="1"/>
  <c r="D21" i="1"/>
  <c r="D20" i="1"/>
  <c r="D18" i="1"/>
  <c r="D17" i="1"/>
  <c r="D16" i="1"/>
  <c r="D15" i="1"/>
  <c r="D14" i="1"/>
  <c r="D12" i="1"/>
  <c r="D11" i="1"/>
  <c r="D10" i="1"/>
  <c r="D9" i="1"/>
  <c r="D8" i="1"/>
  <c r="D6" i="1"/>
  <c r="D5" i="1"/>
  <c r="D4" i="1"/>
  <c r="D3" i="1"/>
  <c r="D2" i="1"/>
  <c r="D13" i="2" l="1"/>
  <c r="D31" i="2"/>
  <c r="F31" i="2" s="1"/>
  <c r="D7" i="5"/>
  <c r="D13" i="5"/>
  <c r="D25" i="5"/>
  <c r="D13" i="4"/>
  <c r="D31" i="4"/>
  <c r="G31" i="4"/>
  <c r="F31" i="4"/>
  <c r="D25" i="3"/>
  <c r="D7" i="3"/>
  <c r="D31" i="3"/>
  <c r="F31" i="3"/>
  <c r="G31" i="3"/>
  <c r="D25" i="1"/>
  <c r="D31" i="1"/>
  <c r="F31" i="1" s="1"/>
  <c r="G31" i="1"/>
  <c r="D13" i="1"/>
  <c r="D31" i="5"/>
  <c r="G31" i="5" s="1"/>
  <c r="D19" i="5"/>
  <c r="D19" i="3"/>
  <c r="D13" i="3"/>
  <c r="D19" i="2"/>
  <c r="D25" i="4"/>
  <c r="D19" i="4"/>
  <c r="D7" i="4"/>
  <c r="D33" i="4" s="1"/>
  <c r="D25" i="2"/>
  <c r="D7" i="2"/>
  <c r="D19" i="1"/>
  <c r="D7" i="1"/>
  <c r="D33" i="1"/>
  <c r="D33" i="2" l="1"/>
  <c r="G31" i="2"/>
  <c r="G33" i="2"/>
  <c r="F31" i="5"/>
  <c r="F33" i="5"/>
  <c r="G33" i="5"/>
  <c r="D33" i="5"/>
  <c r="F33" i="4"/>
  <c r="G33" i="4"/>
  <c r="F33" i="3"/>
  <c r="G33" i="3"/>
  <c r="D33" i="3"/>
  <c r="D35" i="5" s="1"/>
  <c r="G33" i="1"/>
  <c r="F33" i="1"/>
  <c r="E30" i="5"/>
  <c r="E29" i="5"/>
  <c r="E28" i="5"/>
  <c r="E27" i="5"/>
  <c r="E26" i="5"/>
  <c r="E24" i="5"/>
  <c r="E23" i="5"/>
  <c r="E22" i="5"/>
  <c r="E21" i="5"/>
  <c r="E20" i="5"/>
  <c r="E18" i="5"/>
  <c r="E17" i="5"/>
  <c r="E16" i="5"/>
  <c r="E15" i="5"/>
  <c r="E14" i="5"/>
  <c r="E19" i="5" s="1"/>
  <c r="E12" i="5"/>
  <c r="E11" i="5"/>
  <c r="E10" i="5"/>
  <c r="E9" i="5"/>
  <c r="E8" i="5"/>
  <c r="E6" i="5"/>
  <c r="E5" i="5"/>
  <c r="E4" i="5"/>
  <c r="E3" i="5"/>
  <c r="E2" i="5"/>
  <c r="E30" i="4"/>
  <c r="E29" i="4"/>
  <c r="E28" i="4"/>
  <c r="E27" i="4"/>
  <c r="E26" i="4"/>
  <c r="E24" i="4"/>
  <c r="E23" i="4"/>
  <c r="E22" i="4"/>
  <c r="E21" i="4"/>
  <c r="E20" i="4"/>
  <c r="E18" i="4"/>
  <c r="E17" i="4"/>
  <c r="E16" i="4"/>
  <c r="E15" i="4"/>
  <c r="E14" i="4"/>
  <c r="E12" i="4"/>
  <c r="E11" i="4"/>
  <c r="E10" i="4"/>
  <c r="E9" i="4"/>
  <c r="E8" i="4"/>
  <c r="E6" i="4"/>
  <c r="E5" i="4"/>
  <c r="E4" i="4"/>
  <c r="E3" i="4"/>
  <c r="E2" i="4"/>
  <c r="E30" i="3"/>
  <c r="E29" i="3"/>
  <c r="E28" i="3"/>
  <c r="E27" i="3"/>
  <c r="E26" i="3"/>
  <c r="E24" i="3"/>
  <c r="E23" i="3"/>
  <c r="E22" i="3"/>
  <c r="E21" i="3"/>
  <c r="E20" i="3"/>
  <c r="E18" i="3"/>
  <c r="E17" i="3"/>
  <c r="E16" i="3"/>
  <c r="E15" i="3"/>
  <c r="E14" i="3"/>
  <c r="E12" i="3"/>
  <c r="E11" i="3"/>
  <c r="E10" i="3"/>
  <c r="E9" i="3"/>
  <c r="E8" i="3"/>
  <c r="E6" i="3"/>
  <c r="E5" i="3"/>
  <c r="E4" i="3"/>
  <c r="E3" i="3"/>
  <c r="E2" i="3"/>
  <c r="E30" i="2"/>
  <c r="E29" i="2"/>
  <c r="E28" i="2"/>
  <c r="E27" i="2"/>
  <c r="E26" i="2"/>
  <c r="E24" i="2"/>
  <c r="E23" i="2"/>
  <c r="E22" i="2"/>
  <c r="E21" i="2"/>
  <c r="E20" i="2"/>
  <c r="E18" i="2"/>
  <c r="E17" i="2"/>
  <c r="E16" i="2"/>
  <c r="E15" i="2"/>
  <c r="E14" i="2"/>
  <c r="E12" i="2"/>
  <c r="E11" i="2"/>
  <c r="E10" i="2"/>
  <c r="E9" i="2"/>
  <c r="E8" i="2"/>
  <c r="E6" i="2"/>
  <c r="E5" i="2"/>
  <c r="E4" i="2"/>
  <c r="E3" i="2"/>
  <c r="E2" i="2"/>
  <c r="E7" i="2" s="1"/>
  <c r="E30" i="1"/>
  <c r="E29" i="1"/>
  <c r="E28" i="1"/>
  <c r="E27" i="1"/>
  <c r="E26" i="1"/>
  <c r="E24" i="1"/>
  <c r="E23" i="1"/>
  <c r="E22" i="1"/>
  <c r="E21" i="1"/>
  <c r="E20" i="1"/>
  <c r="E18" i="1"/>
  <c r="E17" i="1"/>
  <c r="E16" i="1"/>
  <c r="E15" i="1"/>
  <c r="E14" i="1"/>
  <c r="E19" i="1" s="1"/>
  <c r="E12" i="1"/>
  <c r="E11" i="1"/>
  <c r="E10" i="1"/>
  <c r="E9" i="1"/>
  <c r="E8" i="1"/>
  <c r="E6" i="1"/>
  <c r="E5" i="1"/>
  <c r="E4" i="1"/>
  <c r="E3" i="1"/>
  <c r="E2" i="1"/>
  <c r="E7" i="5" l="1"/>
  <c r="E7" i="4"/>
  <c r="F33" i="2"/>
  <c r="E31" i="5"/>
  <c r="G35" i="5"/>
  <c r="E19" i="4"/>
  <c r="F35" i="5"/>
  <c r="E25" i="5"/>
  <c r="E13" i="5"/>
  <c r="E25" i="3"/>
  <c r="E19" i="3"/>
  <c r="E31" i="2"/>
  <c r="H33" i="1"/>
  <c r="H35" i="5" s="1"/>
  <c r="E31" i="4"/>
  <c r="E25" i="4"/>
  <c r="E13" i="4"/>
  <c r="E33" i="4" s="1"/>
  <c r="E31" i="3"/>
  <c r="E13" i="3"/>
  <c r="E7" i="3"/>
  <c r="E25" i="2"/>
  <c r="E19" i="2"/>
  <c r="E13" i="2"/>
  <c r="E31" i="1"/>
  <c r="E25" i="1"/>
  <c r="E13" i="1"/>
  <c r="E7" i="1"/>
  <c r="E33" i="5" l="1"/>
  <c r="E33" i="3"/>
  <c r="E33" i="2"/>
  <c r="E33" i="1"/>
  <c r="E35" i="5" s="1"/>
</calcChain>
</file>

<file path=xl/sharedStrings.xml><?xml version="1.0" encoding="utf-8"?>
<sst xmlns="http://schemas.openxmlformats.org/spreadsheetml/2006/main" count="71" uniqueCount="11">
  <si>
    <t>B</t>
  </si>
  <si>
    <t>S</t>
  </si>
  <si>
    <t>C</t>
  </si>
  <si>
    <t>Gap</t>
  </si>
  <si>
    <t>Time</t>
  </si>
  <si>
    <t>Obj</t>
  </si>
  <si>
    <t>Average</t>
  </si>
  <si>
    <t>Opt</t>
    <phoneticPr fontId="3" type="noConversion"/>
  </si>
  <si>
    <t>Total</t>
    <phoneticPr fontId="3" type="noConversion"/>
  </si>
  <si>
    <t>Summary</t>
    <phoneticPr fontId="3" type="noConversion"/>
  </si>
  <si>
    <t>Fsl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</si>
</sst>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"/>
    <numFmt numFmtId="166" formatCode="0.0;[Red]0.0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6" fillId="0" borderId="0" xfId="0" applyFont="1"/>
    <xf numFmtId="0" fontId="0" fillId="0" borderId="0" xfId="0" applyNumberFormat="1"/>
    <xf numFmtId="165" fontId="2" fillId="0" borderId="0" xfId="0" applyNumberFormat="1" applyFont="1"/>
    <xf numFmtId="166" fontId="4" fillId="0" borderId="0" xfId="0" applyNumberFormat="1" applyFont="1"/>
    <xf numFmtId="166" fontId="5" fillId="0" borderId="0" xfId="0" applyNumberFormat="1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"/>
  <sheetViews>
    <sheetView topLeftCell="C1" zoomScale="130" zoomScaleNormal="130" workbookViewId="0">
      <selection activeCell="F25" sqref="F25:H25"/>
    </sheetView>
  </sheetViews>
  <sheetFormatPr defaultRowHeight="15"/>
  <cols>
    <col min="6" max="6" width="9.42578125" customWidth="1"/>
    <col min="7" max="7" width="8.85546875" style="6"/>
  </cols>
  <sheetData>
    <row r="1" spans="1:36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5" t="s">
        <v>3</v>
      </c>
      <c r="H1" s="1" t="s">
        <v>4</v>
      </c>
    </row>
    <row r="2" spans="1:36">
      <c r="A2">
        <v>2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11">
        <v>46.237000000000002</v>
      </c>
      <c r="G2" s="11">
        <v>0</v>
      </c>
      <c r="H2" s="11">
        <v>7.5190999999999994E-2</v>
      </c>
      <c r="N2" s="2"/>
      <c r="T2" s="2"/>
      <c r="Z2" s="2"/>
      <c r="AE2" s="3"/>
      <c r="AF2" s="2"/>
    </row>
    <row r="3" spans="1:36">
      <c r="A3">
        <v>2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11">
        <v>415.64299999999997</v>
      </c>
      <c r="G3" s="11">
        <v>0</v>
      </c>
      <c r="H3" s="11">
        <v>0.115935</v>
      </c>
      <c r="M3" s="2"/>
      <c r="S3" s="2"/>
      <c r="Y3" s="2"/>
      <c r="AD3" s="3"/>
      <c r="AE3" s="2"/>
    </row>
    <row r="4" spans="1:36">
      <c r="A4">
        <v>2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11">
        <v>119.907</v>
      </c>
      <c r="G4" s="11">
        <v>0</v>
      </c>
      <c r="H4" s="11">
        <v>0.16257099999999999</v>
      </c>
      <c r="L4" s="2"/>
      <c r="R4" s="2"/>
      <c r="X4" s="2"/>
      <c r="AC4" s="3"/>
      <c r="AD4" s="2"/>
      <c r="AJ4" s="2"/>
    </row>
    <row r="5" spans="1:36">
      <c r="A5">
        <v>2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11">
        <v>78.393299999999996</v>
      </c>
      <c r="G5" s="11">
        <v>0</v>
      </c>
      <c r="H5" s="11">
        <v>5.2597999999999999E-2</v>
      </c>
      <c r="K5" s="2"/>
      <c r="Q5" s="2"/>
      <c r="W5" s="2"/>
      <c r="AB5" s="3"/>
      <c r="AC5" s="2"/>
      <c r="AI5" s="2"/>
    </row>
    <row r="6" spans="1:36">
      <c r="A6">
        <v>2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11">
        <v>152.58799999999999</v>
      </c>
      <c r="G6" s="11">
        <v>0.186667</v>
      </c>
      <c r="H6" s="11">
        <v>0.147622</v>
      </c>
      <c r="I6" s="2"/>
      <c r="J6" s="2"/>
      <c r="P6" s="2"/>
      <c r="V6" s="2"/>
      <c r="AA6" s="3"/>
      <c r="AB6" s="2"/>
      <c r="AH6" s="2"/>
    </row>
    <row r="7" spans="1:36" s="2" customFormat="1">
      <c r="A7" s="16" t="s">
        <v>6</v>
      </c>
      <c r="B7" s="16"/>
      <c r="C7" s="16"/>
      <c r="D7" s="9">
        <f>SUM(D2:D6)</f>
        <v>5</v>
      </c>
      <c r="E7" s="4">
        <f>SUM(E2:E6)</f>
        <v>5</v>
      </c>
      <c r="F7" s="12">
        <f>($D2*F2+$D3*F3+$D4*F4+$D5*F5+$D6*F6)/$D7</f>
        <v>162.55365999999998</v>
      </c>
      <c r="G7" s="12">
        <f>($D2*G2+$D3*G3+$D4*G4+$D5*G5+$D6*G6)/$D7</f>
        <v>3.7333400000000003E-2</v>
      </c>
      <c r="H7" s="12">
        <f>AVERAGE(H2:H6)</f>
        <v>0.1107834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6">
      <c r="A8">
        <v>2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11">
        <v>58.189300000000003</v>
      </c>
      <c r="G8" s="11">
        <v>0</v>
      </c>
      <c r="H8" s="11">
        <v>0.168904</v>
      </c>
      <c r="N8" s="2"/>
      <c r="T8" s="2"/>
      <c r="Y8" s="3"/>
      <c r="Z8" s="2"/>
      <c r="AF8" s="2"/>
    </row>
    <row r="9" spans="1:36">
      <c r="A9">
        <v>2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11">
        <v>206.28299999999999</v>
      </c>
      <c r="G9" s="11">
        <v>0.25692199999999998</v>
      </c>
      <c r="H9" s="11">
        <v>0.15851999999999999</v>
      </c>
      <c r="M9" s="2"/>
      <c r="S9" s="2"/>
      <c r="X9" s="3"/>
      <c r="Y9" s="2"/>
      <c r="AE9" s="2"/>
    </row>
    <row r="10" spans="1:36">
      <c r="A10">
        <v>2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11">
        <v>98.631100000000004</v>
      </c>
      <c r="G10" s="11">
        <v>0</v>
      </c>
      <c r="H10" s="11">
        <v>0.15013899999999999</v>
      </c>
      <c r="L10" s="2"/>
      <c r="R10" s="2"/>
      <c r="W10" s="3"/>
      <c r="X10" s="2"/>
      <c r="AD10" s="2"/>
    </row>
    <row r="11" spans="1:36">
      <c r="A11">
        <v>2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11">
        <v>109.16500000000001</v>
      </c>
      <c r="G11" s="11">
        <v>0.82369800000000004</v>
      </c>
      <c r="H11" s="11">
        <v>0.29433100000000001</v>
      </c>
      <c r="K11" s="2"/>
      <c r="Q11" s="2"/>
      <c r="V11" s="3"/>
      <c r="W11" s="2"/>
      <c r="AC11" s="2"/>
    </row>
    <row r="12" spans="1:36">
      <c r="A12">
        <v>2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11">
        <v>85.533000000000001</v>
      </c>
      <c r="G12" s="11">
        <v>0.25157000000000002</v>
      </c>
      <c r="H12" s="11">
        <v>0.158077</v>
      </c>
      <c r="I12" s="2"/>
      <c r="J12" s="2"/>
      <c r="P12" s="2"/>
      <c r="U12" s="3"/>
      <c r="V12" s="2"/>
      <c r="AB12" s="2"/>
    </row>
    <row r="13" spans="1:36" s="2" customFormat="1">
      <c r="A13" s="16" t="s">
        <v>6</v>
      </c>
      <c r="B13" s="16"/>
      <c r="C13" s="16"/>
      <c r="D13" s="9">
        <f>SUM(D8:D12)</f>
        <v>5</v>
      </c>
      <c r="E13" s="4">
        <f>SUM(E8:E12)</f>
        <v>5</v>
      </c>
      <c r="F13" s="12">
        <f>($D8*F8+$D9*F9+$D10*F10+$D11*F11+$D12*F12)/$D13</f>
        <v>111.56028000000001</v>
      </c>
      <c r="G13" s="12">
        <f>($D8*G8+$D9*G9+$D10*G10+$D11*G11+$D12*G12)/$D13</f>
        <v>0.26643800000000006</v>
      </c>
      <c r="H13" s="12">
        <f>AVERAGE(H8:H12)</f>
        <v>0.1859942</v>
      </c>
      <c r="I13"/>
      <c r="J13"/>
      <c r="K13"/>
      <c r="L13"/>
      <c r="M13"/>
      <c r="N13"/>
      <c r="P13"/>
      <c r="Q13"/>
      <c r="R13"/>
      <c r="S13"/>
      <c r="T13"/>
      <c r="V13"/>
      <c r="W13"/>
      <c r="X13"/>
      <c r="Y13"/>
      <c r="Z13"/>
      <c r="AB13"/>
      <c r="AC13"/>
      <c r="AD13"/>
      <c r="AE13"/>
      <c r="AF13"/>
      <c r="AG13"/>
      <c r="AH13"/>
      <c r="AI13"/>
    </row>
    <row r="14" spans="1:36">
      <c r="A14">
        <v>2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11">
        <v>44.0792</v>
      </c>
      <c r="G14" s="11">
        <v>0.67672500000000002</v>
      </c>
      <c r="H14" s="11">
        <v>0.37539800000000001</v>
      </c>
      <c r="N14" s="2"/>
      <c r="S14" s="3"/>
      <c r="T14" s="2"/>
      <c r="Z14" s="2"/>
    </row>
    <row r="15" spans="1:36">
      <c r="A15">
        <v>2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11">
        <v>109.68</v>
      </c>
      <c r="G15" s="11">
        <v>0</v>
      </c>
      <c r="H15" s="11">
        <v>0.58936299999999997</v>
      </c>
      <c r="M15" s="2"/>
      <c r="R15" s="3"/>
      <c r="S15" s="2"/>
      <c r="Y15" s="2"/>
    </row>
    <row r="16" spans="1:36">
      <c r="A16">
        <v>2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11">
        <v>125.589</v>
      </c>
      <c r="G16" s="11">
        <v>0.86400500000000002</v>
      </c>
      <c r="H16" s="11">
        <v>0.51764200000000005</v>
      </c>
      <c r="L16" s="2"/>
      <c r="Q16" s="3"/>
      <c r="R16" s="2"/>
      <c r="X16" s="2"/>
    </row>
    <row r="17" spans="1:35">
      <c r="A17">
        <v>2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11">
        <v>96.915499999999994</v>
      </c>
      <c r="G17" s="11">
        <v>0</v>
      </c>
      <c r="H17" s="11">
        <v>0.23411499999999999</v>
      </c>
      <c r="K17" s="2"/>
      <c r="P17" s="3"/>
      <c r="Q17" s="2"/>
      <c r="W17" s="2"/>
    </row>
    <row r="18" spans="1:35">
      <c r="A18">
        <v>2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11">
        <v>93.454499999999996</v>
      </c>
      <c r="G18" s="11">
        <v>0.93349800000000005</v>
      </c>
      <c r="H18" s="11">
        <v>0.49617299999999998</v>
      </c>
      <c r="I18" s="2"/>
      <c r="J18" s="2"/>
      <c r="O18" s="3"/>
      <c r="P18" s="2"/>
      <c r="V18" s="2"/>
    </row>
    <row r="19" spans="1:35" s="2" customFormat="1">
      <c r="A19" s="16" t="s">
        <v>6</v>
      </c>
      <c r="B19" s="16"/>
      <c r="C19" s="16"/>
      <c r="D19" s="9">
        <f>SUM(D14:D18)</f>
        <v>5</v>
      </c>
      <c r="E19" s="4">
        <f>SUM(E14:E18)</f>
        <v>5</v>
      </c>
      <c r="F19" s="12">
        <f>($D14*F14+$D15*F15+$D16*F16+$D17*F17+$D18*F18)/$D19</f>
        <v>93.943640000000002</v>
      </c>
      <c r="G19" s="12">
        <f>($D14*G14+$D15*G15+$D16*G16+$D17*G17+$D18*G18)/$D19</f>
        <v>0.4948456</v>
      </c>
      <c r="H19" s="12">
        <f>AVERAGE(H14:H18)</f>
        <v>0.4425382000000001</v>
      </c>
      <c r="I19"/>
      <c r="J19"/>
      <c r="K19"/>
      <c r="L19"/>
      <c r="M19"/>
      <c r="N19"/>
      <c r="P19"/>
      <c r="Q19"/>
      <c r="R19"/>
      <c r="S19"/>
      <c r="T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>
      <c r="A20">
        <v>2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11">
        <v>121.68</v>
      </c>
      <c r="G20" s="11">
        <v>0.45608100000000001</v>
      </c>
      <c r="H20" s="11">
        <v>0.59004000000000001</v>
      </c>
      <c r="M20" s="3"/>
      <c r="N20" s="2"/>
      <c r="T20" s="2"/>
    </row>
    <row r="21" spans="1:35">
      <c r="A21">
        <v>2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11">
        <v>213.23699999999999</v>
      </c>
      <c r="G21" s="11">
        <v>0</v>
      </c>
      <c r="H21" s="11">
        <v>0.30761300000000003</v>
      </c>
      <c r="L21" s="3"/>
      <c r="M21" s="2"/>
      <c r="S21" s="2"/>
    </row>
    <row r="22" spans="1:35">
      <c r="A22">
        <v>2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11">
        <v>142.18299999999999</v>
      </c>
      <c r="G22" s="11">
        <v>0</v>
      </c>
      <c r="H22" s="11">
        <v>0.43764700000000001</v>
      </c>
      <c r="K22" s="3"/>
      <c r="L22" s="2"/>
      <c r="R22" s="2"/>
    </row>
    <row r="23" spans="1:35">
      <c r="A23">
        <v>2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11">
        <v>38.915199999999999</v>
      </c>
      <c r="G23" s="11">
        <v>0</v>
      </c>
      <c r="H23" s="11">
        <v>0.29441099999999998</v>
      </c>
      <c r="I23" s="3"/>
      <c r="J23" s="3"/>
      <c r="K23" s="2"/>
      <c r="Q23" s="2"/>
    </row>
    <row r="24" spans="1:35">
      <c r="A24">
        <v>2</v>
      </c>
      <c r="B24">
        <v>400</v>
      </c>
      <c r="C24">
        <v>5</v>
      </c>
      <c r="D24">
        <f>IF(F24&lt;9999,1,0)</f>
        <v>1</v>
      </c>
      <c r="E24">
        <f t="shared" si="3"/>
        <v>1</v>
      </c>
      <c r="F24" s="11">
        <v>95.059799999999996</v>
      </c>
      <c r="G24" s="11">
        <v>0</v>
      </c>
      <c r="H24" s="11">
        <v>0.33451500000000001</v>
      </c>
      <c r="I24" s="2"/>
      <c r="J24" s="2"/>
      <c r="P24" s="2"/>
    </row>
    <row r="25" spans="1:35" s="2" customFormat="1">
      <c r="A25" s="16" t="s">
        <v>6</v>
      </c>
      <c r="B25" s="16"/>
      <c r="C25" s="16"/>
      <c r="D25" s="9">
        <f>SUM(D20:D24)</f>
        <v>5</v>
      </c>
      <c r="E25" s="4">
        <f>SUM(E20:E24)</f>
        <v>5</v>
      </c>
      <c r="F25" s="12">
        <f>($D20*F20+$D21*F21+$D22*F22+$D23*F23+$D24*F24)/$D25</f>
        <v>122.215</v>
      </c>
      <c r="G25" s="12">
        <f>($D20*G20+$D21*G21+$D22*G22+$D23*G23+$D24*G24)/$D25</f>
        <v>9.1216199999999997E-2</v>
      </c>
      <c r="H25" s="12">
        <f>AVERAGE(H20:H24)</f>
        <v>0.39284520000000001</v>
      </c>
      <c r="I25"/>
      <c r="J25"/>
      <c r="K25"/>
      <c r="L25"/>
      <c r="M25"/>
      <c r="N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>
      <c r="A26">
        <v>2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11">
        <v>168.66</v>
      </c>
      <c r="G26" s="11">
        <v>0</v>
      </c>
      <c r="H26" s="11">
        <v>0.41101300000000002</v>
      </c>
      <c r="N26" s="2"/>
    </row>
    <row r="27" spans="1:35">
      <c r="A27">
        <v>2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11">
        <v>222.35400000000001</v>
      </c>
      <c r="G27" s="11">
        <v>0</v>
      </c>
      <c r="H27" s="11">
        <v>0.475497</v>
      </c>
      <c r="M27" s="2"/>
    </row>
    <row r="28" spans="1:35">
      <c r="A28">
        <v>2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11">
        <v>154.19800000000001</v>
      </c>
      <c r="G28" s="11">
        <v>0</v>
      </c>
      <c r="H28" s="11">
        <v>5.7792000000000003</v>
      </c>
      <c r="L28" s="2"/>
    </row>
    <row r="29" spans="1:35">
      <c r="A29">
        <v>2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11">
        <v>366.56400000000002</v>
      </c>
      <c r="G29" s="11">
        <v>0</v>
      </c>
      <c r="H29" s="11">
        <v>0.87353199999999998</v>
      </c>
      <c r="K29" s="2"/>
    </row>
    <row r="30" spans="1:35">
      <c r="A30">
        <v>2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11">
        <v>118.18600000000001</v>
      </c>
      <c r="G30" s="11">
        <v>0.562662</v>
      </c>
      <c r="H30" s="11">
        <v>0.91884600000000005</v>
      </c>
      <c r="I30" s="2"/>
      <c r="J30" s="2"/>
    </row>
    <row r="31" spans="1:35" s="2" customFormat="1">
      <c r="A31" s="16" t="s">
        <v>6</v>
      </c>
      <c r="B31" s="16"/>
      <c r="C31" s="16"/>
      <c r="D31" s="9">
        <f>SUM(D26:D30)</f>
        <v>5</v>
      </c>
      <c r="E31" s="4">
        <f>SUM(E26:E30)</f>
        <v>5</v>
      </c>
      <c r="F31" s="12">
        <f>($D26*F26+$D27*F27+$D28*F28+$D29*F29+$D30*F30)/$D31</f>
        <v>205.9924</v>
      </c>
      <c r="G31" s="12">
        <f>($D26*G26+$D27*G27+$D28*G28+$D29*G29+$D30*G30)/$D31</f>
        <v>0.1125324</v>
      </c>
      <c r="H31" s="12">
        <f>AVERAGE(H26:H30)</f>
        <v>1.6916176000000001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3" spans="1:8">
      <c r="A33" s="15" t="s">
        <v>8</v>
      </c>
      <c r="B33" s="15"/>
      <c r="C33" s="15"/>
      <c r="D33" s="2">
        <f>SUM(D7,D13,D19,D25,D31)</f>
        <v>25</v>
      </c>
      <c r="E33" s="7">
        <f>SUM(E7,E13,E19,E25,E31)</f>
        <v>25</v>
      </c>
      <c r="F33" s="13">
        <f>(F7*$D7+F13*$D13+F19*$D19+F25*$D25+F31*$D31)/($D7+$D13+$D19+$D25+$D31)</f>
        <v>139.252996</v>
      </c>
      <c r="G33" s="13">
        <f>(G7*$D7+G13*$D13+G19*$D19+G25*$D25+G31*$D31)/($D7+$D13+$D19+$D25+$D31)</f>
        <v>0.20047311999999998</v>
      </c>
      <c r="H33" s="13">
        <f>AVERAGE(H7,H13,H19,H25,H31)</f>
        <v>0.56475571999999996</v>
      </c>
    </row>
    <row r="35" spans="1:8">
      <c r="D35" s="10"/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C17-C7CF-43B8-B59B-D85A075B17C4}">
  <dimension ref="A1:AJ55"/>
  <sheetViews>
    <sheetView workbookViewId="0">
      <selection activeCell="F25" sqref="F25:H25"/>
    </sheetView>
  </sheetViews>
  <sheetFormatPr defaultRowHeight="15"/>
  <cols>
    <col min="6" max="6" width="9.42578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6">
      <c r="A2">
        <v>4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11">
        <v>108.76</v>
      </c>
      <c r="G2" s="11">
        <v>0.58048699999999998</v>
      </c>
      <c r="H2" s="11">
        <v>0.29160599999999998</v>
      </c>
      <c r="M2" s="2"/>
      <c r="S2" s="2"/>
      <c r="Y2" s="2"/>
      <c r="AD2" s="3"/>
      <c r="AE2" s="2"/>
    </row>
    <row r="3" spans="1:36">
      <c r="A3">
        <v>4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11">
        <v>156.202</v>
      </c>
      <c r="G3" s="11">
        <v>0.90086100000000002</v>
      </c>
      <c r="H3" s="11">
        <v>0.63738099999999998</v>
      </c>
      <c r="L3" s="2"/>
      <c r="R3" s="2"/>
      <c r="X3" s="2"/>
      <c r="AC3" s="3"/>
      <c r="AD3" s="2"/>
    </row>
    <row r="4" spans="1:36">
      <c r="A4">
        <v>4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11">
        <v>232.41300000000001</v>
      </c>
      <c r="G4" s="11">
        <v>0.99629699999999999</v>
      </c>
      <c r="H4" s="11">
        <v>6.1755100000000001</v>
      </c>
      <c r="K4" s="2"/>
      <c r="Q4" s="2"/>
      <c r="W4" s="2"/>
      <c r="AB4" s="3"/>
      <c r="AC4" s="2"/>
      <c r="AI4" s="2"/>
    </row>
    <row r="5" spans="1:36">
      <c r="A5">
        <v>4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11">
        <v>326.66300000000001</v>
      </c>
      <c r="G5" s="11">
        <v>0.97474400000000005</v>
      </c>
      <c r="H5" s="11">
        <v>8.8242799999999999</v>
      </c>
      <c r="I5" s="2"/>
      <c r="J5" s="2"/>
      <c r="P5" s="2"/>
      <c r="V5" s="2"/>
      <c r="AA5" s="3"/>
      <c r="AB5" s="2"/>
      <c r="AH5" s="2"/>
      <c r="AJ5" s="2"/>
    </row>
    <row r="6" spans="1:36">
      <c r="A6">
        <v>4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11">
        <v>246.24100000000001</v>
      </c>
      <c r="G6" s="11">
        <v>0.56775200000000003</v>
      </c>
      <c r="H6" s="11">
        <v>0.34362399999999999</v>
      </c>
    </row>
    <row r="7" spans="1:36" s="2" customFormat="1">
      <c r="A7" s="16" t="s">
        <v>6</v>
      </c>
      <c r="B7" s="16"/>
      <c r="C7" s="16"/>
      <c r="D7" s="9">
        <f>SUM(D2:D6)</f>
        <v>5</v>
      </c>
      <c r="E7" s="4">
        <f>SUM(E2:E6)</f>
        <v>5</v>
      </c>
      <c r="F7" s="12">
        <f>($D2*F2+$D3*F3+$D4*F4+$D5*F5+$D6*F6)/$D7</f>
        <v>214.0558</v>
      </c>
      <c r="G7" s="12">
        <f>($D2*G2+$D3*G3+$D4*G4+$D5*G5+$D6*G6)/$D7</f>
        <v>0.80402820000000008</v>
      </c>
      <c r="H7" s="12">
        <f>AVERAGE(H2:H6)</f>
        <v>3.2544801999999997</v>
      </c>
      <c r="I7"/>
      <c r="J7"/>
      <c r="K7"/>
      <c r="L7"/>
      <c r="M7"/>
      <c r="O7"/>
      <c r="P7"/>
      <c r="Q7"/>
      <c r="R7"/>
      <c r="S7"/>
      <c r="U7"/>
      <c r="V7"/>
      <c r="W7"/>
      <c r="X7"/>
      <c r="Y7" s="3"/>
      <c r="AA7"/>
      <c r="AB7"/>
      <c r="AC7"/>
      <c r="AD7"/>
      <c r="AE7"/>
      <c r="AG7"/>
      <c r="AH7"/>
      <c r="AI7"/>
    </row>
    <row r="8" spans="1:36">
      <c r="A8">
        <v>4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11">
        <v>214.584</v>
      </c>
      <c r="G8" s="11">
        <v>0.430724</v>
      </c>
      <c r="H8" s="11">
        <v>0.93857999999999997</v>
      </c>
      <c r="M8" s="2"/>
      <c r="S8" s="2"/>
      <c r="X8" s="3"/>
      <c r="Y8" s="2"/>
      <c r="AE8" s="2"/>
    </row>
    <row r="9" spans="1:36">
      <c r="A9">
        <v>4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11">
        <v>184.50200000000001</v>
      </c>
      <c r="G9" s="11">
        <v>0.79543299999999995</v>
      </c>
      <c r="H9" s="11">
        <v>1.65483</v>
      </c>
      <c r="L9" s="2"/>
      <c r="R9" s="2"/>
      <c r="W9" s="3"/>
      <c r="X9" s="2"/>
      <c r="AD9" s="2"/>
    </row>
    <row r="10" spans="1:36">
      <c r="A10">
        <v>4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11">
        <v>198.53700000000001</v>
      </c>
      <c r="G10" s="11">
        <v>0.98583399999999999</v>
      </c>
      <c r="H10" s="11">
        <v>6.5662099999999999</v>
      </c>
      <c r="K10" s="2"/>
      <c r="Q10" s="2"/>
      <c r="V10" s="3"/>
      <c r="W10" s="2"/>
      <c r="AC10" s="2"/>
    </row>
    <row r="11" spans="1:36">
      <c r="A11">
        <v>4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11">
        <v>281.74700000000001</v>
      </c>
      <c r="G11" s="11">
        <v>0.66505300000000001</v>
      </c>
      <c r="H11" s="11">
        <v>0.949658</v>
      </c>
      <c r="I11" s="2"/>
      <c r="J11" s="2"/>
      <c r="P11" s="2"/>
      <c r="U11" s="3"/>
      <c r="V11" s="2"/>
      <c r="AB11" s="2"/>
    </row>
    <row r="12" spans="1:36">
      <c r="A12">
        <v>4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11">
        <v>112.404</v>
      </c>
      <c r="G12" s="11">
        <v>0</v>
      </c>
      <c r="H12" s="11">
        <v>0.72809999999999997</v>
      </c>
      <c r="O12" s="2"/>
      <c r="U12" s="2"/>
      <c r="AA12" s="2"/>
    </row>
    <row r="13" spans="1:36" s="2" customFormat="1">
      <c r="A13" s="16" t="s">
        <v>6</v>
      </c>
      <c r="B13" s="16"/>
      <c r="C13" s="16"/>
      <c r="D13" s="9">
        <f>SUM(D8:D12)</f>
        <v>5</v>
      </c>
      <c r="E13" s="4">
        <f>SUM(E8:E12)</f>
        <v>5</v>
      </c>
      <c r="F13" s="12">
        <f>($D8*F8+$D9*F9+$D10*F10+$D11*F11+$D12*F12)/$D13</f>
        <v>198.35480000000001</v>
      </c>
      <c r="G13" s="12">
        <f>($D8*G8+$D9*G9+$D10*G10+$D11*G11+$D12*G12)/$D13</f>
        <v>0.57540879999999994</v>
      </c>
      <c r="H13" s="12">
        <f>AVERAGE(H8:H12)</f>
        <v>2.1674755999999999</v>
      </c>
      <c r="I13"/>
      <c r="J13"/>
      <c r="K13"/>
      <c r="L13"/>
      <c r="M13"/>
      <c r="O13"/>
      <c r="P13"/>
      <c r="Q13"/>
      <c r="R13"/>
      <c r="S13" s="3"/>
      <c r="U13"/>
      <c r="V13"/>
      <c r="W13"/>
      <c r="X13"/>
      <c r="Y13"/>
      <c r="AA13"/>
      <c r="AB13"/>
      <c r="AC13"/>
      <c r="AD13"/>
      <c r="AE13"/>
      <c r="AF13"/>
      <c r="AG13"/>
      <c r="AH13"/>
      <c r="AI13"/>
    </row>
    <row r="14" spans="1:36">
      <c r="A14">
        <v>4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11">
        <v>154.148</v>
      </c>
      <c r="G14" s="11">
        <v>0.68549099999999996</v>
      </c>
      <c r="H14" s="11">
        <v>0.98286399999999996</v>
      </c>
      <c r="M14" s="2"/>
      <c r="R14" s="3"/>
      <c r="S14" s="2"/>
      <c r="Y14" s="2"/>
    </row>
    <row r="15" spans="1:36">
      <c r="A15">
        <v>4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11">
        <v>176.66800000000001</v>
      </c>
      <c r="G15" s="11">
        <v>0.43363699999999999</v>
      </c>
      <c r="H15" s="11">
        <v>0.981985</v>
      </c>
      <c r="L15" s="2"/>
      <c r="Q15" s="3"/>
      <c r="R15" s="2"/>
      <c r="X15" s="2"/>
    </row>
    <row r="16" spans="1:36">
      <c r="A16">
        <v>4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11">
        <v>201.98500000000001</v>
      </c>
      <c r="G16" s="11">
        <v>2.9700000000000001E-2</v>
      </c>
      <c r="H16" s="11">
        <v>3.1339999999999999</v>
      </c>
      <c r="K16" s="2"/>
      <c r="P16" s="3"/>
      <c r="Q16" s="2"/>
      <c r="W16" s="2"/>
    </row>
    <row r="17" spans="1:36">
      <c r="A17">
        <v>4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11">
        <v>144.684</v>
      </c>
      <c r="G17" s="11">
        <v>0.36520200000000003</v>
      </c>
      <c r="H17" s="11">
        <v>0.94827600000000001</v>
      </c>
      <c r="I17" s="2"/>
      <c r="J17" s="2"/>
      <c r="O17" s="3"/>
      <c r="P17" s="2"/>
      <c r="V17" s="2"/>
    </row>
    <row r="18" spans="1:36">
      <c r="A18">
        <v>4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11">
        <v>148.77199999999999</v>
      </c>
      <c r="G18" s="11">
        <v>0.99572899999999998</v>
      </c>
      <c r="H18" s="11">
        <v>219.733</v>
      </c>
      <c r="O18" s="2"/>
      <c r="U18" s="2"/>
    </row>
    <row r="19" spans="1:36" s="2" customFormat="1">
      <c r="A19" s="16" t="s">
        <v>6</v>
      </c>
      <c r="B19" s="16"/>
      <c r="C19" s="16"/>
      <c r="D19" s="9">
        <f>SUM(D14:D18)</f>
        <v>5</v>
      </c>
      <c r="E19" s="4">
        <f>SUM(E14:E18)</f>
        <v>5</v>
      </c>
      <c r="F19" s="12">
        <f>($D14*F14+$D15*F15+$D16*F16+$D17*F17+$D18*F18)/$D19</f>
        <v>165.25140000000002</v>
      </c>
      <c r="G19" s="12">
        <f>($D14*G14+$D15*G15+$D16*G16+$D17*G17+$D18*G18)/$D19</f>
        <v>0.50195179999999995</v>
      </c>
      <c r="H19" s="12">
        <f>AVERAGE(H14:H18)</f>
        <v>45.156025</v>
      </c>
      <c r="I19"/>
      <c r="J19"/>
      <c r="K19"/>
      <c r="L19"/>
      <c r="M19" s="3"/>
      <c r="O19"/>
      <c r="P19"/>
      <c r="Q19"/>
      <c r="R19"/>
      <c r="S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6">
      <c r="A20">
        <v>4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11">
        <v>120.199</v>
      </c>
      <c r="G20" s="11">
        <v>0.17378199999999999</v>
      </c>
      <c r="H20" s="11">
        <v>1.0397400000000001</v>
      </c>
      <c r="L20" s="3"/>
      <c r="M20" s="2"/>
      <c r="S20" s="2"/>
    </row>
    <row r="21" spans="1:36">
      <c r="A21">
        <v>4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11">
        <v>440.07799999999997</v>
      </c>
      <c r="G21" s="11">
        <v>0.387237</v>
      </c>
      <c r="H21" s="11">
        <v>1.94852</v>
      </c>
      <c r="K21" s="3"/>
      <c r="L21" s="2"/>
      <c r="R21" s="2"/>
    </row>
    <row r="22" spans="1:36">
      <c r="A22">
        <v>4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11">
        <v>259.26100000000002</v>
      </c>
      <c r="G22" s="11">
        <v>0.53712599999999999</v>
      </c>
      <c r="H22" s="11">
        <v>1.4797499999999999</v>
      </c>
      <c r="I22" s="3"/>
      <c r="J22" s="3"/>
      <c r="K22" s="2"/>
      <c r="Q22" s="2"/>
    </row>
    <row r="23" spans="1:36">
      <c r="A23">
        <v>4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11">
        <v>166.98500000000001</v>
      </c>
      <c r="G23" s="11">
        <v>0.64922299999999999</v>
      </c>
      <c r="H23" s="11">
        <v>1.7296499999999999</v>
      </c>
      <c r="I23" s="2"/>
      <c r="J23" s="2"/>
      <c r="P23" s="2"/>
    </row>
    <row r="24" spans="1:36" s="3" customFormat="1">
      <c r="A24">
        <v>4</v>
      </c>
      <c r="B24" s="3">
        <v>400</v>
      </c>
      <c r="C24" s="3">
        <v>5</v>
      </c>
      <c r="D24">
        <f>IF(F24&lt;9999,1,0)</f>
        <v>1</v>
      </c>
      <c r="E24">
        <f t="shared" si="3"/>
        <v>1</v>
      </c>
      <c r="F24" s="11">
        <v>147.398</v>
      </c>
      <c r="G24" s="11">
        <v>0.99994700000000003</v>
      </c>
      <c r="H24" s="11">
        <v>32.6935</v>
      </c>
      <c r="I24"/>
      <c r="J24"/>
      <c r="K24"/>
      <c r="L24"/>
      <c r="M24"/>
      <c r="N24"/>
      <c r="O24" s="2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1:36" s="2" customFormat="1">
      <c r="A25" s="16" t="s">
        <v>6</v>
      </c>
      <c r="B25" s="16"/>
      <c r="C25" s="16"/>
      <c r="D25" s="9">
        <f>SUM(D20:D24)</f>
        <v>5</v>
      </c>
      <c r="E25" s="4">
        <f>SUM(E20:E24)</f>
        <v>5</v>
      </c>
      <c r="F25" s="12">
        <f>($D20*F20+$D21*F21+$D22*F22+$D23*F23+$D24*F24)/$D25</f>
        <v>226.7842</v>
      </c>
      <c r="G25" s="12">
        <f>($D20*G20+$D21*G21+$D22*G22+$D23*G23+$D24*G24)/$D25</f>
        <v>0.54946300000000003</v>
      </c>
      <c r="H25" s="12">
        <f>AVERAGE(H20:H24)</f>
        <v>7.778232</v>
      </c>
      <c r="I25"/>
      <c r="J25"/>
      <c r="K25"/>
      <c r="L25"/>
      <c r="M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6">
      <c r="A26">
        <v>4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11">
        <v>370.64</v>
      </c>
      <c r="G26" s="11">
        <v>0.57358500000000001</v>
      </c>
      <c r="H26" s="11">
        <v>3.11713</v>
      </c>
      <c r="M26" s="2"/>
    </row>
    <row r="27" spans="1:36">
      <c r="A27">
        <v>4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11">
        <v>249.25299999999999</v>
      </c>
      <c r="G27" s="11">
        <v>0.91860399999999998</v>
      </c>
      <c r="H27" s="11">
        <v>2.4063699999999999</v>
      </c>
      <c r="L27" s="2"/>
    </row>
    <row r="28" spans="1:36">
      <c r="A28">
        <v>4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11">
        <v>155.41399999999999</v>
      </c>
      <c r="G28" s="11">
        <v>0.36916700000000002</v>
      </c>
      <c r="H28" s="11">
        <v>2.0335999999999999</v>
      </c>
      <c r="K28" s="2"/>
    </row>
    <row r="29" spans="1:36">
      <c r="A29">
        <v>4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11">
        <v>214.77</v>
      </c>
      <c r="G29" s="11">
        <v>0.85602699999999998</v>
      </c>
      <c r="H29" s="11">
        <v>2.2993100000000002</v>
      </c>
      <c r="I29" s="2"/>
      <c r="J29" s="2"/>
    </row>
    <row r="30" spans="1:36">
      <c r="A30">
        <v>4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11">
        <v>186.84399999999999</v>
      </c>
      <c r="G30" s="11">
        <v>9.8623500000000003E-2</v>
      </c>
      <c r="H30" s="11">
        <v>1.90568</v>
      </c>
    </row>
    <row r="31" spans="1:36" s="2" customFormat="1">
      <c r="A31" s="16" t="s">
        <v>6</v>
      </c>
      <c r="B31" s="16"/>
      <c r="C31" s="16"/>
      <c r="D31" s="9">
        <f>SUM(D26:D30)</f>
        <v>5</v>
      </c>
      <c r="E31" s="4">
        <f>SUM(E26:E30)</f>
        <v>5</v>
      </c>
      <c r="F31" s="12">
        <f>($D26*F26+$D27*F27+$D28*F28+$D29*F29+$D30*F30)/$D31</f>
        <v>235.38420000000002</v>
      </c>
      <c r="G31" s="12">
        <f>($D26*G26+$D27*G27+$D28*G28+$D29*G29+$D30*G30)/$D31</f>
        <v>0.56320130000000002</v>
      </c>
      <c r="H31" s="12">
        <f>AVERAGE(H26:H30)</f>
        <v>2.3524180000000001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3" spans="1:8">
      <c r="A33" s="15" t="s">
        <v>8</v>
      </c>
      <c r="B33" s="15"/>
      <c r="C33" s="15"/>
      <c r="D33" s="2">
        <f>SUM(D7,D13,D19,D25,D31)</f>
        <v>25</v>
      </c>
      <c r="E33" s="7">
        <f>SUM(E7,E13,E19,E25,E31)</f>
        <v>25</v>
      </c>
      <c r="F33" s="13">
        <f>(F7*$D7+F13*$D13+F19*$D19+F25*$D25+F31*$D31)/($D7+$D13+$D19+$D25+$D31)</f>
        <v>207.96608000000001</v>
      </c>
      <c r="G33" s="13">
        <f>(G7*$D7+G13*$D13+G19*$D19+G25*$D25+G31*$D31)/($D7+$D13+$D19+$D25+$D31)</f>
        <v>0.59881061999999996</v>
      </c>
      <c r="H33" s="13">
        <f>AVERAGE(H7,H13,H19,H25,H31)</f>
        <v>12.141726160000001</v>
      </c>
    </row>
    <row r="35" spans="1:8">
      <c r="D35" s="10"/>
    </row>
    <row r="55" spans="9:9">
      <c r="I55">
        <v>224.524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CD6-AFB7-4163-8FF8-B16393B13EB3}">
  <dimension ref="A1:AI55"/>
  <sheetViews>
    <sheetView workbookViewId="0">
      <selection activeCell="F25" sqref="F25:H25"/>
    </sheetView>
  </sheetViews>
  <sheetFormatPr defaultRowHeight="15"/>
  <cols>
    <col min="6" max="6" width="9.42578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6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11">
        <v>369.45</v>
      </c>
      <c r="G2" s="11">
        <v>0.92901100000000003</v>
      </c>
      <c r="H2" s="11">
        <v>2.45764</v>
      </c>
      <c r="M2" s="2"/>
      <c r="S2" s="2"/>
      <c r="Y2" s="2"/>
      <c r="AD2" s="3"/>
      <c r="AE2" s="2"/>
    </row>
    <row r="3" spans="1:35">
      <c r="A3">
        <v>6</v>
      </c>
      <c r="B3">
        <v>100</v>
      </c>
      <c r="C3">
        <v>2</v>
      </c>
      <c r="D3">
        <f>IF(F3&lt;9999,1,0)</f>
        <v>1</v>
      </c>
      <c r="E3">
        <f t="shared" ref="E3:E6" si="0">IF(G3&lt;1,1,0)</f>
        <v>1</v>
      </c>
      <c r="F3" s="11">
        <v>283.24</v>
      </c>
      <c r="G3" s="11">
        <v>0.5383</v>
      </c>
      <c r="H3" s="11">
        <v>0.69231399999999998</v>
      </c>
      <c r="L3" s="2"/>
      <c r="R3" s="2"/>
      <c r="X3" s="2"/>
      <c r="AC3" s="3"/>
      <c r="AD3" s="2"/>
    </row>
    <row r="4" spans="1:35">
      <c r="A4">
        <v>6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11">
        <v>482.45600000000002</v>
      </c>
      <c r="G4" s="11">
        <v>0.98802100000000004</v>
      </c>
      <c r="H4" s="11">
        <v>0.957426</v>
      </c>
      <c r="K4" s="2"/>
      <c r="Q4" s="2"/>
      <c r="W4" s="2"/>
      <c r="AB4" s="3"/>
      <c r="AC4" s="2"/>
      <c r="AI4" s="2"/>
    </row>
    <row r="5" spans="1:35">
      <c r="A5">
        <v>6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11">
        <v>267.62400000000002</v>
      </c>
      <c r="G5" s="11">
        <v>0.68686400000000003</v>
      </c>
      <c r="H5" s="11">
        <v>0.74150899999999997</v>
      </c>
      <c r="I5" s="2"/>
      <c r="J5" s="2"/>
      <c r="P5" s="2"/>
      <c r="V5" s="2"/>
      <c r="AA5" s="3"/>
      <c r="AB5" s="2"/>
      <c r="AH5" s="2"/>
    </row>
    <row r="6" spans="1:35">
      <c r="A6">
        <v>6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11">
        <v>430.31599999999997</v>
      </c>
      <c r="G6" s="11">
        <v>0.57416400000000001</v>
      </c>
      <c r="H6" s="11">
        <v>3.4241600000000001</v>
      </c>
    </row>
    <row r="7" spans="1:35">
      <c r="A7" s="16" t="s">
        <v>6</v>
      </c>
      <c r="B7" s="16"/>
      <c r="C7" s="16"/>
      <c r="D7" s="9">
        <f>SUM(D2:D6)</f>
        <v>5</v>
      </c>
      <c r="E7" s="4">
        <f>SUM(E2:E6)</f>
        <v>5</v>
      </c>
      <c r="F7" s="12">
        <f>($D2*F2+$D3*F3+$D4*F4+$D5*F5+$D6*F6)/$D7</f>
        <v>366.61720000000003</v>
      </c>
      <c r="G7" s="12">
        <f>($D2*G2+$D3*G3+$D4*G4+$D5*G5+$D6*G6)/$D7</f>
        <v>0.74327200000000004</v>
      </c>
      <c r="H7" s="12">
        <f>AVERAGE(H2:H6)</f>
        <v>1.6546098</v>
      </c>
      <c r="N7" s="2"/>
      <c r="T7" s="2"/>
      <c r="Y7" s="3"/>
      <c r="Z7" s="2"/>
      <c r="AF7" s="2"/>
    </row>
    <row r="8" spans="1:35">
      <c r="A8">
        <v>6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11">
        <v>553.51199999999994</v>
      </c>
      <c r="G8" s="11">
        <v>0.43694899999999998</v>
      </c>
      <c r="H8" s="11">
        <v>1.9004799999999999</v>
      </c>
      <c r="M8" s="2"/>
      <c r="S8" s="2"/>
      <c r="X8" s="3"/>
      <c r="Y8" s="2"/>
      <c r="AE8" s="2"/>
    </row>
    <row r="9" spans="1:35">
      <c r="A9">
        <v>6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11">
        <v>394.98500000000001</v>
      </c>
      <c r="G9" s="11">
        <v>0.57112300000000005</v>
      </c>
      <c r="H9" s="11">
        <v>1.4320200000000001</v>
      </c>
      <c r="L9" s="2"/>
      <c r="R9" s="2"/>
      <c r="W9" s="3"/>
      <c r="X9" s="2"/>
      <c r="AD9" s="2"/>
    </row>
    <row r="10" spans="1:35">
      <c r="A10">
        <v>6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11">
        <v>238.18799999999999</v>
      </c>
      <c r="G10" s="11">
        <v>0.88706200000000002</v>
      </c>
      <c r="H10" s="11">
        <v>115.40300000000001</v>
      </c>
      <c r="K10" s="2"/>
      <c r="Q10" s="2"/>
      <c r="V10" s="3"/>
      <c r="W10" s="2"/>
      <c r="AC10" s="2"/>
    </row>
    <row r="11" spans="1:35">
      <c r="A11">
        <v>6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11">
        <v>379.49400000000003</v>
      </c>
      <c r="G11" s="11">
        <v>0.98619800000000002</v>
      </c>
      <c r="H11" s="11">
        <v>2.5304099999999998</v>
      </c>
      <c r="I11" s="2"/>
      <c r="J11" s="2"/>
      <c r="P11" s="2"/>
      <c r="U11" s="3"/>
      <c r="V11" s="2"/>
      <c r="AB11" s="2"/>
    </row>
    <row r="12" spans="1:35">
      <c r="A12">
        <v>6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11">
        <v>232.084</v>
      </c>
      <c r="G12" s="11">
        <v>0.255992</v>
      </c>
      <c r="H12" s="11">
        <v>1.52712</v>
      </c>
      <c r="O12" s="2"/>
      <c r="U12" s="2"/>
      <c r="AA12" s="2"/>
    </row>
    <row r="13" spans="1:35">
      <c r="A13" s="16" t="s">
        <v>6</v>
      </c>
      <c r="B13" s="16"/>
      <c r="C13" s="16"/>
      <c r="D13" s="9">
        <f>SUM(D8:D12)</f>
        <v>5</v>
      </c>
      <c r="E13" s="4">
        <f>SUM(E8:E12)</f>
        <v>5</v>
      </c>
      <c r="F13" s="12">
        <f>($D8*F8+$D9*F9+$D10*F10+$D11*F11+$D12*F12)/$D13</f>
        <v>359.65260000000001</v>
      </c>
      <c r="G13" s="12">
        <f>($D8*G8+$D9*G9+$D10*G10+$D11*G11+$D12*G12)/$D13</f>
        <v>0.62746480000000004</v>
      </c>
      <c r="H13" s="12">
        <f>AVERAGE(H8:H12)</f>
        <v>24.558606000000001</v>
      </c>
      <c r="N13" s="2"/>
      <c r="S13" s="3"/>
      <c r="T13" s="2"/>
      <c r="Z13" s="2"/>
    </row>
    <row r="14" spans="1:35">
      <c r="A14">
        <v>6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11">
        <v>381.75299999999999</v>
      </c>
      <c r="G14" s="11">
        <v>0.81799200000000005</v>
      </c>
      <c r="H14" s="11">
        <v>159.678</v>
      </c>
      <c r="M14" s="2"/>
      <c r="R14" s="3"/>
      <c r="S14" s="2"/>
      <c r="Y14" s="2"/>
    </row>
    <row r="15" spans="1:35">
      <c r="A15">
        <v>6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11">
        <v>258.46300000000002</v>
      </c>
      <c r="G15" s="11">
        <v>0.37999500000000003</v>
      </c>
      <c r="H15" s="11">
        <v>9.0847499999999997</v>
      </c>
      <c r="L15" s="2"/>
      <c r="Q15" s="3"/>
      <c r="R15" s="2"/>
      <c r="X15" s="2"/>
    </row>
    <row r="16" spans="1:35">
      <c r="A16">
        <v>6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11">
        <v>193.71799999999999</v>
      </c>
      <c r="G16" s="11">
        <v>0.26713799999999999</v>
      </c>
      <c r="H16" s="11">
        <v>1.72282</v>
      </c>
      <c r="K16" s="2"/>
      <c r="P16" s="3"/>
      <c r="Q16" s="2"/>
      <c r="W16" s="2"/>
    </row>
    <row r="17" spans="1:22">
      <c r="A17">
        <v>6</v>
      </c>
      <c r="B17">
        <v>300</v>
      </c>
      <c r="C17">
        <v>4</v>
      </c>
      <c r="D17">
        <f>IF(F17&lt;9999,1,0)</f>
        <v>1</v>
      </c>
      <c r="E17">
        <f t="shared" si="2"/>
        <v>0</v>
      </c>
      <c r="F17" s="11">
        <v>321.613</v>
      </c>
      <c r="G17" s="11">
        <v>1.0660499999999999</v>
      </c>
      <c r="H17" s="11">
        <v>1800.29</v>
      </c>
      <c r="I17" s="2"/>
      <c r="J17" s="2"/>
      <c r="O17" s="3"/>
      <c r="P17" s="2"/>
      <c r="V17" s="2"/>
    </row>
    <row r="18" spans="1:22">
      <c r="A18">
        <v>6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11">
        <v>369.40499999999997</v>
      </c>
      <c r="G18" s="11">
        <v>0.96124299999999996</v>
      </c>
      <c r="H18" s="11">
        <v>4.4354100000000001</v>
      </c>
      <c r="O18" s="2"/>
      <c r="U18" s="2"/>
    </row>
    <row r="19" spans="1:22">
      <c r="A19" s="16" t="s">
        <v>6</v>
      </c>
      <c r="B19" s="16"/>
      <c r="C19" s="16"/>
      <c r="D19" s="9">
        <f>SUM(D14:D18)</f>
        <v>5</v>
      </c>
      <c r="E19" s="4">
        <f>SUM(E14:E18)</f>
        <v>4</v>
      </c>
      <c r="F19" s="12">
        <f>($D14*F14+$D15*F15+$D16*F16+$D17*F17+$D18*F18)/$D19</f>
        <v>304.99040000000002</v>
      </c>
      <c r="G19" s="12">
        <f>($D14*G14+$D15*G15+$D16*G16+$D17*G17+$D18*G18)/$D19</f>
        <v>0.69848360000000009</v>
      </c>
      <c r="H19" s="12">
        <f>AVERAGE(H14:H18)</f>
        <v>395.04219599999999</v>
      </c>
      <c r="M19" s="3"/>
      <c r="N19" s="2"/>
      <c r="T19" s="2"/>
    </row>
    <row r="20" spans="1:22">
      <c r="A20">
        <v>6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11">
        <v>343.77800000000002</v>
      </c>
      <c r="G20" s="11">
        <v>0.84271499999999999</v>
      </c>
      <c r="H20" s="11">
        <v>9.22194</v>
      </c>
      <c r="L20" s="3"/>
      <c r="M20" s="2"/>
      <c r="S20" s="2"/>
    </row>
    <row r="21" spans="1:22">
      <c r="A21">
        <v>6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11">
        <v>381.87099999999998</v>
      </c>
      <c r="G21" s="11">
        <v>0.94094599999999995</v>
      </c>
      <c r="H21" s="11">
        <v>132.10599999999999</v>
      </c>
      <c r="K21" s="3"/>
      <c r="L21" s="2"/>
      <c r="R21" s="2"/>
    </row>
    <row r="22" spans="1:22">
      <c r="A22">
        <v>6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11">
        <v>298.96300000000002</v>
      </c>
      <c r="G22" s="11">
        <v>0.42615700000000001</v>
      </c>
      <c r="H22" s="11">
        <v>2.5179399999999998</v>
      </c>
      <c r="I22" s="3"/>
      <c r="J22" s="3"/>
      <c r="K22" s="2"/>
      <c r="Q22" s="2"/>
    </row>
    <row r="23" spans="1:22">
      <c r="A23">
        <v>6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11">
        <v>246.69499999999999</v>
      </c>
      <c r="G23" s="11">
        <v>0.97977400000000003</v>
      </c>
      <c r="H23" s="11">
        <v>6.9159499999999996</v>
      </c>
      <c r="I23" s="2"/>
      <c r="J23" s="2"/>
      <c r="P23" s="2"/>
    </row>
    <row r="24" spans="1:22">
      <c r="A24">
        <v>6</v>
      </c>
      <c r="B24">
        <v>400</v>
      </c>
      <c r="C24">
        <v>5</v>
      </c>
      <c r="D24">
        <f>IF(F24&lt;9999,1,0)</f>
        <v>1</v>
      </c>
      <c r="E24">
        <f t="shared" si="3"/>
        <v>1</v>
      </c>
      <c r="F24" s="11">
        <v>293.06</v>
      </c>
      <c r="G24" s="11">
        <v>0.99379099999999998</v>
      </c>
      <c r="H24" s="11">
        <v>84.836699999999993</v>
      </c>
      <c r="O24" s="2"/>
    </row>
    <row r="25" spans="1:22">
      <c r="A25" s="16" t="s">
        <v>6</v>
      </c>
      <c r="B25" s="16"/>
      <c r="C25" s="16"/>
      <c r="D25" s="9">
        <f>SUM(D20:D24)</f>
        <v>5</v>
      </c>
      <c r="E25" s="4">
        <f>SUM(E20:E24)</f>
        <v>5</v>
      </c>
      <c r="F25" s="12">
        <f>($D20*F20+$D21*F21+$D22*F22+$D23*F23+$D24*F24)/$D25</f>
        <v>312.8734</v>
      </c>
      <c r="G25" s="12">
        <f>($D20*G20+$D21*G21+$D22*G22+$D23*G23+$D24*G24)/$D25</f>
        <v>0.83667659999999999</v>
      </c>
      <c r="H25" s="12">
        <f>AVERAGE(H20:H24)</f>
        <v>47.119705999999994</v>
      </c>
      <c r="N25" s="2"/>
    </row>
    <row r="26" spans="1:22">
      <c r="A26">
        <v>6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11">
        <v>169.22399999999999</v>
      </c>
      <c r="G26" s="11">
        <v>0.76556199999999996</v>
      </c>
      <c r="H26" s="11">
        <v>5.2147800000000002</v>
      </c>
      <c r="M26" s="2"/>
    </row>
    <row r="27" spans="1:22">
      <c r="A27">
        <v>6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11">
        <v>296.57499999999999</v>
      </c>
      <c r="G27" s="11">
        <v>0.94661399999999996</v>
      </c>
      <c r="H27" s="11">
        <v>27.2347</v>
      </c>
      <c r="L27" s="2"/>
    </row>
    <row r="28" spans="1:22">
      <c r="A28">
        <v>6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11">
        <v>314.82299999999998</v>
      </c>
      <c r="G28" s="11">
        <v>0</v>
      </c>
      <c r="H28" s="11">
        <v>4.4884599999999999</v>
      </c>
      <c r="K28" s="2"/>
    </row>
    <row r="29" spans="1:22">
      <c r="A29">
        <v>6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11">
        <v>205.494</v>
      </c>
      <c r="G29" s="11">
        <v>0.95907299999999995</v>
      </c>
      <c r="H29" s="11">
        <v>49.5505</v>
      </c>
      <c r="I29" s="2"/>
      <c r="J29" s="2"/>
    </row>
    <row r="30" spans="1:22">
      <c r="A30">
        <v>6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11">
        <v>267.553</v>
      </c>
      <c r="G30" s="11">
        <v>0.97017600000000004</v>
      </c>
      <c r="H30" s="11">
        <v>12.065</v>
      </c>
    </row>
    <row r="31" spans="1:22">
      <c r="A31" s="16" t="s">
        <v>6</v>
      </c>
      <c r="B31" s="16"/>
      <c r="C31" s="16"/>
      <c r="D31" s="9">
        <f>SUM(D26:D30)</f>
        <v>5</v>
      </c>
      <c r="E31" s="4">
        <f>SUM(E26:E30)</f>
        <v>5</v>
      </c>
      <c r="F31" s="12">
        <f>($D26*F26+$D27*F27+$D28*F28+$D29*F29+$D30*F30)/$D31</f>
        <v>250.73379999999997</v>
      </c>
      <c r="G31" s="12">
        <f>($D26*G26+$D27*G27+$D28*G28+$D29*G29+$D30*G30)/$D31</f>
        <v>0.72828499999999996</v>
      </c>
      <c r="H31" s="12">
        <f>AVERAGE(H26:H30)</f>
        <v>19.710687999999998</v>
      </c>
    </row>
    <row r="33" spans="1:8">
      <c r="A33" s="15" t="s">
        <v>8</v>
      </c>
      <c r="B33" s="15"/>
      <c r="C33" s="15"/>
      <c r="D33" s="2">
        <f>SUM(D7,D13,D19,D25,D31)</f>
        <v>25</v>
      </c>
      <c r="E33" s="7">
        <f>SUM(E7,E13,E19,E25,E31)</f>
        <v>24</v>
      </c>
      <c r="F33" s="13">
        <f>(F7*$D7+F13*$D13+F19*$D19+F25*$D25+F31*$D31)/($D7+$D13+$D19+$D25+$D31)</f>
        <v>318.97348</v>
      </c>
      <c r="G33" s="13">
        <f>(G7*$D7+G13*$D13+G19*$D19+G25*$D25+G31*$D31)/($D7+$D13+$D19+$D25+$D31)</f>
        <v>0.72683639999999994</v>
      </c>
      <c r="H33" s="13">
        <f>AVERAGE(H7,H13,H19,H25,H31)</f>
        <v>97.617161159999995</v>
      </c>
    </row>
    <row r="35" spans="1:8">
      <c r="D35" s="10"/>
    </row>
    <row r="55" spans="9:9">
      <c r="I55">
        <v>256.57499999999999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198-2C99-461D-86CC-DE80BD602EBD}">
  <dimension ref="A1:AI55"/>
  <sheetViews>
    <sheetView workbookViewId="0">
      <selection activeCell="F25" sqref="F25:H25"/>
    </sheetView>
  </sheetViews>
  <sheetFormatPr defaultRowHeight="15"/>
  <cols>
    <col min="6" max="6" width="9.42578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8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11">
        <v>314.05599999999998</v>
      </c>
      <c r="G2" s="11">
        <v>0.71913000000000005</v>
      </c>
      <c r="H2" s="11">
        <v>24.122</v>
      </c>
      <c r="M2" s="2"/>
      <c r="S2" s="2"/>
      <c r="Y2" s="2"/>
      <c r="AD2" s="3"/>
      <c r="AE2" s="2"/>
    </row>
    <row r="3" spans="1:35">
      <c r="A3">
        <v>8</v>
      </c>
      <c r="B3">
        <v>100</v>
      </c>
      <c r="C3">
        <v>2</v>
      </c>
      <c r="D3">
        <f>IF(F3&lt;9999,1,0)</f>
        <v>1</v>
      </c>
      <c r="E3">
        <f t="shared" ref="E3:E6" si="0">IF(G3&lt;1,1,0)</f>
        <v>0</v>
      </c>
      <c r="F3" s="11">
        <v>296.46899999999999</v>
      </c>
      <c r="G3" s="11">
        <v>3.2445200000000001</v>
      </c>
      <c r="H3" s="11">
        <v>1800.85</v>
      </c>
      <c r="L3" s="2"/>
      <c r="R3" s="2"/>
      <c r="X3" s="2"/>
      <c r="AC3" s="3"/>
      <c r="AD3" s="2"/>
    </row>
    <row r="4" spans="1:35">
      <c r="A4">
        <v>8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11">
        <v>494.786</v>
      </c>
      <c r="G4" s="11">
        <v>0.99073</v>
      </c>
      <c r="H4" s="11">
        <v>44.503500000000003</v>
      </c>
      <c r="K4" s="2"/>
      <c r="Q4" s="2"/>
      <c r="W4" s="2"/>
      <c r="AB4" s="3"/>
      <c r="AC4" s="2"/>
      <c r="AI4" s="2"/>
    </row>
    <row r="5" spans="1:35">
      <c r="A5">
        <v>8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11">
        <v>295.58199999999999</v>
      </c>
      <c r="G5" s="11">
        <v>0.50930299999999995</v>
      </c>
      <c r="H5" s="11">
        <v>1.79508</v>
      </c>
      <c r="I5" s="2"/>
      <c r="J5" s="2"/>
      <c r="P5" s="2"/>
      <c r="V5" s="2"/>
      <c r="AA5" s="3"/>
      <c r="AB5" s="2"/>
      <c r="AH5" s="2"/>
    </row>
    <row r="6" spans="1:35">
      <c r="A6">
        <v>8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11">
        <v>472.13600000000002</v>
      </c>
      <c r="G6" s="11">
        <v>0.95321100000000003</v>
      </c>
      <c r="H6" s="11">
        <v>3.8604500000000002</v>
      </c>
    </row>
    <row r="7" spans="1:35">
      <c r="A7" s="16" t="s">
        <v>6</v>
      </c>
      <c r="B7" s="16"/>
      <c r="C7" s="16"/>
      <c r="D7" s="9">
        <f>SUM(D2:D6)</f>
        <v>5</v>
      </c>
      <c r="E7" s="4">
        <f>SUM(E2:E6)</f>
        <v>4</v>
      </c>
      <c r="F7" s="12">
        <f>($D2*F2+$D3*F3+$D4*F4+$D5*F5+$D6*F6)/$D7</f>
        <v>374.60579999999999</v>
      </c>
      <c r="G7" s="12">
        <f>($D2*G2+$D3*G3+$D4*G4+$D5*G5+$D6*G6)/$D7</f>
        <v>1.2833788000000002</v>
      </c>
      <c r="H7" s="12">
        <f>AVERAGE(H2:H6)</f>
        <v>375.026206</v>
      </c>
      <c r="N7" s="2"/>
      <c r="T7" s="2"/>
      <c r="Y7" s="3"/>
      <c r="Z7" s="2"/>
      <c r="AF7" s="2"/>
    </row>
    <row r="8" spans="1:35">
      <c r="A8">
        <v>8</v>
      </c>
      <c r="B8">
        <v>200</v>
      </c>
      <c r="C8">
        <v>1</v>
      </c>
      <c r="D8">
        <f>IF(F8&lt;9999,1,0)</f>
        <v>1</v>
      </c>
      <c r="E8">
        <f>IF(G8&lt;1,1,0)</f>
        <v>1</v>
      </c>
      <c r="F8" s="11">
        <v>331.63099999999997</v>
      </c>
      <c r="G8" s="11">
        <v>0.98094199999999998</v>
      </c>
      <c r="H8" s="11">
        <v>178.71600000000001</v>
      </c>
      <c r="M8" s="2"/>
      <c r="S8" s="2"/>
      <c r="X8" s="3"/>
      <c r="Y8" s="2"/>
      <c r="AE8" s="2"/>
    </row>
    <row r="9" spans="1:35">
      <c r="A9">
        <v>8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11">
        <v>579.28499999999997</v>
      </c>
      <c r="G9" s="11">
        <v>0.89260700000000004</v>
      </c>
      <c r="H9" s="11">
        <v>32.938600000000001</v>
      </c>
      <c r="L9" s="2"/>
      <c r="R9" s="2"/>
      <c r="W9" s="3"/>
      <c r="X9" s="2"/>
      <c r="AD9" s="2"/>
    </row>
    <row r="10" spans="1:35">
      <c r="A10">
        <v>8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11">
        <v>537.69500000000005</v>
      </c>
      <c r="G10" s="11">
        <v>0.79208000000000001</v>
      </c>
      <c r="H10" s="11">
        <v>2.39418</v>
      </c>
      <c r="K10" s="2"/>
      <c r="Q10" s="2"/>
      <c r="V10" s="3"/>
      <c r="W10" s="2"/>
      <c r="AC10" s="2"/>
    </row>
    <row r="11" spans="1:35">
      <c r="A11">
        <v>8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11">
        <v>441.06799999999998</v>
      </c>
      <c r="G11" s="11">
        <v>0.58832899999999999</v>
      </c>
      <c r="H11" s="11">
        <v>34.3474</v>
      </c>
      <c r="I11" s="2"/>
      <c r="J11" s="2"/>
      <c r="P11" s="2"/>
      <c r="U11" s="3"/>
      <c r="V11" s="2"/>
      <c r="AB11" s="2"/>
    </row>
    <row r="12" spans="1:35">
      <c r="A12">
        <v>8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11">
        <v>460.40899999999999</v>
      </c>
      <c r="G12" s="11">
        <v>0.63292899999999996</v>
      </c>
      <c r="H12" s="11">
        <v>37.255200000000002</v>
      </c>
      <c r="O12" s="2"/>
      <c r="U12" s="2"/>
      <c r="AA12" s="2"/>
    </row>
    <row r="13" spans="1:35">
      <c r="A13" s="16" t="s">
        <v>6</v>
      </c>
      <c r="B13" s="16"/>
      <c r="C13" s="16"/>
      <c r="D13" s="9">
        <f>SUM(D8:D12)</f>
        <v>5</v>
      </c>
      <c r="E13" s="4">
        <f>SUM(E8:E12)</f>
        <v>5</v>
      </c>
      <c r="F13" s="12">
        <f>($D8*F8+$D9*F9+$D10*F10+$D11*F11+$D12*F12)/$D13</f>
        <v>470.01759999999996</v>
      </c>
      <c r="G13" s="12">
        <f>($D8*G8+$D9*G9+$D10*G10+$D11*G11+$D12*G12)/$D13</f>
        <v>0.7773774</v>
      </c>
      <c r="H13" s="12">
        <f>AVERAGE(H8:H12)</f>
        <v>57.130276000000002</v>
      </c>
      <c r="N13" s="2"/>
      <c r="S13" s="3"/>
      <c r="T13" s="2"/>
      <c r="Z13" s="2"/>
    </row>
    <row r="14" spans="1:35">
      <c r="A14">
        <v>8</v>
      </c>
      <c r="B14">
        <v>300</v>
      </c>
      <c r="C14">
        <v>1</v>
      </c>
      <c r="D14">
        <f>IF(F14&lt;9999,1,0)</f>
        <v>1</v>
      </c>
      <c r="E14">
        <f>IF(G14&lt;1,1,0)</f>
        <v>1</v>
      </c>
      <c r="F14" s="11">
        <v>362.04599999999999</v>
      </c>
      <c r="G14" s="11">
        <v>0.69761200000000001</v>
      </c>
      <c r="H14" s="11">
        <v>7.7328000000000001</v>
      </c>
      <c r="M14" s="2"/>
      <c r="R14" s="3"/>
      <c r="S14" s="2"/>
      <c r="Y14" s="2"/>
    </row>
    <row r="15" spans="1:35">
      <c r="A15">
        <v>8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11">
        <v>373.334</v>
      </c>
      <c r="G15" s="11">
        <v>0.99970300000000001</v>
      </c>
      <c r="H15" s="11">
        <v>1088.6600000000001</v>
      </c>
      <c r="L15" s="2"/>
      <c r="Q15" s="3"/>
      <c r="R15" s="2"/>
      <c r="X15" s="2"/>
    </row>
    <row r="16" spans="1:35">
      <c r="A16">
        <v>8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11">
        <v>373.82799999999997</v>
      </c>
      <c r="G16" s="11">
        <v>0.303531</v>
      </c>
      <c r="H16" s="11">
        <v>3.8492000000000002</v>
      </c>
      <c r="K16" s="2"/>
      <c r="P16" s="3"/>
      <c r="Q16" s="2"/>
      <c r="W16" s="2"/>
    </row>
    <row r="17" spans="1:22">
      <c r="A17">
        <v>8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11">
        <v>336.84699999999998</v>
      </c>
      <c r="G17" s="11">
        <v>0.95015400000000005</v>
      </c>
      <c r="H17" s="11">
        <v>10.9549</v>
      </c>
      <c r="I17" s="2"/>
      <c r="J17" s="2"/>
      <c r="O17" s="3"/>
      <c r="P17" s="2"/>
      <c r="V17" s="2"/>
    </row>
    <row r="18" spans="1:22">
      <c r="A18">
        <v>8</v>
      </c>
      <c r="B18">
        <v>300</v>
      </c>
      <c r="C18">
        <v>5</v>
      </c>
      <c r="D18">
        <f>IF(F18&lt;9999,1,0)</f>
        <v>1</v>
      </c>
      <c r="E18">
        <f t="shared" si="2"/>
        <v>1</v>
      </c>
      <c r="F18" s="11">
        <v>302.77</v>
      </c>
      <c r="G18" s="11">
        <v>0.77251400000000003</v>
      </c>
      <c r="H18" s="11">
        <v>6.9388100000000001</v>
      </c>
      <c r="O18" s="2"/>
      <c r="U18" s="2"/>
    </row>
    <row r="19" spans="1:22">
      <c r="A19" s="16" t="s">
        <v>6</v>
      </c>
      <c r="B19" s="16"/>
      <c r="C19" s="16"/>
      <c r="D19" s="9">
        <f>SUM(D14:D18)</f>
        <v>5</v>
      </c>
      <c r="E19" s="4">
        <f>SUM(E14:E18)</f>
        <v>5</v>
      </c>
      <c r="F19" s="12">
        <f>($D14*F14+$D15*F15+$D16*F16+$D17*F17+$D18*F18)/$D19</f>
        <v>349.76499999999999</v>
      </c>
      <c r="G19" s="12">
        <f>($D14*G14+$D15*G15+$D16*G16+$D17*G17+$D18*G18)/$D19</f>
        <v>0.7447028</v>
      </c>
      <c r="H19" s="12">
        <f>AVERAGE(H14:H18)</f>
        <v>223.62714200000005</v>
      </c>
      <c r="M19" s="3"/>
      <c r="N19" s="2"/>
      <c r="T19" s="2"/>
    </row>
    <row r="20" spans="1:22">
      <c r="A20">
        <v>8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11">
        <v>307.363</v>
      </c>
      <c r="G20" s="11">
        <v>0.98694899999999997</v>
      </c>
      <c r="H20" s="11">
        <v>42.352200000000003</v>
      </c>
      <c r="L20" s="3"/>
      <c r="M20" s="2"/>
      <c r="S20" s="2"/>
    </row>
    <row r="21" spans="1:22">
      <c r="A21">
        <v>8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11">
        <v>293.33999999999997</v>
      </c>
      <c r="G21" s="11">
        <v>0.68456099999999998</v>
      </c>
      <c r="H21" s="11">
        <v>9.8892199999999999</v>
      </c>
      <c r="K21" s="3"/>
      <c r="L21" s="2"/>
      <c r="R21" s="2"/>
    </row>
    <row r="22" spans="1:22">
      <c r="A22">
        <v>8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11">
        <v>345.28500000000003</v>
      </c>
      <c r="G22" s="11">
        <v>0.56131600000000004</v>
      </c>
      <c r="H22" s="11">
        <v>9.6304599999999994</v>
      </c>
      <c r="I22" s="3"/>
      <c r="J22" s="3"/>
      <c r="K22" s="2"/>
      <c r="Q22" s="2"/>
    </row>
    <row r="23" spans="1:22">
      <c r="A23">
        <v>8</v>
      </c>
      <c r="B23">
        <v>400</v>
      </c>
      <c r="C23">
        <v>4</v>
      </c>
      <c r="D23">
        <f>IF(F23&lt;9999,1,0)</f>
        <v>1</v>
      </c>
      <c r="E23">
        <f t="shared" si="3"/>
        <v>0</v>
      </c>
      <c r="F23" s="11">
        <v>475.97699999999998</v>
      </c>
      <c r="G23" s="11">
        <v>1.9269700000000001</v>
      </c>
      <c r="H23" s="11">
        <v>1804.47</v>
      </c>
      <c r="I23" s="2"/>
      <c r="J23" s="2"/>
      <c r="P23" s="2"/>
    </row>
    <row r="24" spans="1:22">
      <c r="A24">
        <v>8</v>
      </c>
      <c r="B24">
        <v>400</v>
      </c>
      <c r="C24">
        <v>5</v>
      </c>
      <c r="D24">
        <f>IF(F24&lt;9999,1,0)</f>
        <v>1</v>
      </c>
      <c r="E24">
        <f t="shared" si="3"/>
        <v>1</v>
      </c>
      <c r="F24" s="11">
        <v>296.25900000000001</v>
      </c>
      <c r="G24" s="11">
        <v>0.802257</v>
      </c>
      <c r="H24" s="11">
        <v>373.24900000000002</v>
      </c>
      <c r="O24" s="2"/>
    </row>
    <row r="25" spans="1:22">
      <c r="A25" s="16" t="s">
        <v>6</v>
      </c>
      <c r="B25" s="16"/>
      <c r="C25" s="16"/>
      <c r="D25" s="9">
        <f>SUM(D20:D24)</f>
        <v>5</v>
      </c>
      <c r="E25" s="4">
        <f>SUM(E20:E24)</f>
        <v>4</v>
      </c>
      <c r="F25" s="12">
        <f>($D20*F20+$D21*F21+$D22*F22+$D23*F23+$D24*F24)/$D25</f>
        <v>343.64480000000003</v>
      </c>
      <c r="G25" s="12">
        <f>($D20*G20+$D21*G21+$D22*G22+$D23*G23+$D24*G24)/$D25</f>
        <v>0.99241060000000003</v>
      </c>
      <c r="H25" s="12">
        <f>AVERAGE(H20:H24)</f>
        <v>447.91817599999996</v>
      </c>
      <c r="N25" s="2"/>
    </row>
    <row r="26" spans="1:22">
      <c r="A26">
        <v>8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11">
        <v>357.96199999999999</v>
      </c>
      <c r="G26" s="11">
        <v>0.98706300000000002</v>
      </c>
      <c r="H26" s="11">
        <v>24.973700000000001</v>
      </c>
      <c r="M26" s="2"/>
    </row>
    <row r="27" spans="1:22">
      <c r="A27">
        <v>8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1</v>
      </c>
      <c r="F27" s="11">
        <v>345.27100000000002</v>
      </c>
      <c r="G27" s="11">
        <v>0.87385699999999999</v>
      </c>
      <c r="H27" s="11">
        <v>14.9095</v>
      </c>
      <c r="L27" s="2"/>
    </row>
    <row r="28" spans="1:22">
      <c r="A28">
        <v>8</v>
      </c>
      <c r="B28">
        <v>500</v>
      </c>
      <c r="C28">
        <v>3</v>
      </c>
      <c r="D28">
        <f>IF(F28&lt;9999,1,0)</f>
        <v>1</v>
      </c>
      <c r="E28">
        <f t="shared" si="4"/>
        <v>1</v>
      </c>
      <c r="F28" s="11">
        <v>498.31400000000002</v>
      </c>
      <c r="G28" s="11">
        <v>0.79062100000000002</v>
      </c>
      <c r="H28" s="11">
        <v>18.913</v>
      </c>
      <c r="K28" s="2"/>
    </row>
    <row r="29" spans="1:22">
      <c r="A29">
        <v>8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11">
        <v>498.10899999999998</v>
      </c>
      <c r="G29" s="11">
        <v>0.41122900000000001</v>
      </c>
      <c r="H29" s="11">
        <v>7.75047</v>
      </c>
      <c r="I29" s="2"/>
      <c r="J29" s="2"/>
    </row>
    <row r="30" spans="1:22">
      <c r="A30">
        <v>8</v>
      </c>
      <c r="B30">
        <v>500</v>
      </c>
      <c r="C30">
        <v>5</v>
      </c>
      <c r="D30">
        <f>IF(F30&lt;9999,1,0)</f>
        <v>1</v>
      </c>
      <c r="E30">
        <f t="shared" si="4"/>
        <v>0</v>
      </c>
      <c r="F30" s="11">
        <v>323.65300000000002</v>
      </c>
      <c r="G30" s="11">
        <v>2.3630800000000001</v>
      </c>
      <c r="H30" s="11">
        <v>1801.81</v>
      </c>
    </row>
    <row r="31" spans="1:22">
      <c r="A31" s="16" t="s">
        <v>6</v>
      </c>
      <c r="B31" s="16"/>
      <c r="C31" s="16"/>
      <c r="D31" s="9">
        <f>SUM(D26:D30)</f>
        <v>5</v>
      </c>
      <c r="E31" s="4">
        <f>SUM(E26:E30)</f>
        <v>4</v>
      </c>
      <c r="F31" s="12">
        <f>($D26*F26+$D27*F27+$D28*F28+$D29*F29+$D30*F30)/$D31</f>
        <v>404.66179999999997</v>
      </c>
      <c r="G31" s="12">
        <f>($D26*G26+$D27*G27+$D28*G28+$D29*G29+$D30*G30)/$D31</f>
        <v>1.0851700000000002</v>
      </c>
      <c r="H31" s="12">
        <f>AVERAGE(H26:H30)</f>
        <v>373.671334</v>
      </c>
    </row>
    <row r="33" spans="1:8">
      <c r="A33" s="15" t="s">
        <v>8</v>
      </c>
      <c r="B33" s="15"/>
      <c r="C33" s="15"/>
      <c r="D33" s="2">
        <f>SUM(D7,D13,D19,D25,D31)</f>
        <v>25</v>
      </c>
      <c r="E33" s="7">
        <f>SUM(E7,E13,E19,E25,E31)</f>
        <v>22</v>
      </c>
      <c r="F33" s="13">
        <f>(F7*$D7+F13*$D13+F19*$D19+F25*$D25+F31*$D31)/($D7+$D13+$D19+$D25+$D31)</f>
        <v>388.53899999999999</v>
      </c>
      <c r="G33" s="13">
        <f>(G7*$D7+G13*$D13+G19*$D19+G25*$D25+G31*$D31)/($D7+$D13+$D19+$D25+$D31)</f>
        <v>0.97660791999999996</v>
      </c>
      <c r="H33" s="13">
        <f>AVERAGE(H7,H13,H19,H25,H31)</f>
        <v>295.47462680000001</v>
      </c>
    </row>
    <row r="35" spans="1:8">
      <c r="D35" s="10"/>
    </row>
    <row r="55" spans="9:9">
      <c r="I55">
        <v>829.32500000000005</v>
      </c>
    </row>
  </sheetData>
  <mergeCells count="6">
    <mergeCell ref="A33:C33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CFB0-FB2D-45FB-956D-37EA2EF91C38}">
  <dimension ref="A1:AI55"/>
  <sheetViews>
    <sheetView tabSelected="1" workbookViewId="0">
      <selection activeCell="F7" sqref="F7:H7"/>
    </sheetView>
  </sheetViews>
  <sheetFormatPr defaultRowHeight="15"/>
  <cols>
    <col min="6" max="6" width="9.425781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10</v>
      </c>
      <c r="E1" s="1" t="s">
        <v>7</v>
      </c>
      <c r="F1" s="1" t="s">
        <v>5</v>
      </c>
      <c r="G1" s="1" t="s">
        <v>3</v>
      </c>
      <c r="H1" s="1" t="s">
        <v>4</v>
      </c>
      <c r="N1" s="2"/>
      <c r="T1" s="2"/>
      <c r="Z1" s="2"/>
      <c r="AE1" s="3"/>
      <c r="AF1" s="2"/>
    </row>
    <row r="2" spans="1:35">
      <c r="A2">
        <v>10</v>
      </c>
      <c r="B2">
        <v>100</v>
      </c>
      <c r="C2">
        <v>1</v>
      </c>
      <c r="D2">
        <f>IF(F2&lt;9999,1,0)</f>
        <v>1</v>
      </c>
      <c r="E2">
        <f>IF(G2&lt;1,1,0)</f>
        <v>1</v>
      </c>
      <c r="F2" s="11">
        <v>831.17</v>
      </c>
      <c r="G2" s="11">
        <v>0.79802200000000001</v>
      </c>
      <c r="H2" s="11">
        <v>542.17600000000004</v>
      </c>
      <c r="M2" s="2"/>
      <c r="S2" s="2"/>
      <c r="Y2" s="2"/>
      <c r="AD2" s="3"/>
      <c r="AE2" s="2"/>
    </row>
    <row r="3" spans="1:35">
      <c r="A3">
        <v>10</v>
      </c>
      <c r="B3">
        <v>100</v>
      </c>
      <c r="C3">
        <v>2</v>
      </c>
      <c r="D3">
        <f>IF(F3&lt;9999,1,0)</f>
        <v>1</v>
      </c>
      <c r="E3">
        <f t="shared" ref="E3:E6" si="0">IF(G3&lt;1,1,0)</f>
        <v>0</v>
      </c>
      <c r="F3" s="11">
        <v>465.79599999999999</v>
      </c>
      <c r="G3" s="11">
        <v>2.7119399999999998</v>
      </c>
      <c r="H3" s="11">
        <v>1801.26</v>
      </c>
      <c r="L3" s="2"/>
      <c r="R3" s="2"/>
      <c r="X3" s="2"/>
      <c r="AC3" s="3"/>
      <c r="AD3" s="2"/>
    </row>
    <row r="4" spans="1:35">
      <c r="A4">
        <v>10</v>
      </c>
      <c r="B4">
        <v>100</v>
      </c>
      <c r="C4">
        <v>3</v>
      </c>
      <c r="D4">
        <f>IF(F4&lt;9999,1,0)</f>
        <v>1</v>
      </c>
      <c r="E4">
        <f t="shared" si="0"/>
        <v>1</v>
      </c>
      <c r="F4" s="11">
        <v>458.86700000000002</v>
      </c>
      <c r="G4" s="11">
        <v>0.38012899999999999</v>
      </c>
      <c r="H4" s="11">
        <v>222.05699999999999</v>
      </c>
      <c r="K4" s="2"/>
      <c r="Q4" s="2"/>
      <c r="W4" s="2"/>
      <c r="AB4" s="3"/>
      <c r="AC4" s="2"/>
      <c r="AI4" s="2"/>
    </row>
    <row r="5" spans="1:35">
      <c r="A5">
        <v>10</v>
      </c>
      <c r="B5">
        <v>100</v>
      </c>
      <c r="C5">
        <v>4</v>
      </c>
      <c r="D5">
        <f>IF(F5&lt;9999,1,0)</f>
        <v>1</v>
      </c>
      <c r="E5">
        <f t="shared" si="0"/>
        <v>1</v>
      </c>
      <c r="F5" s="11">
        <v>408.053</v>
      </c>
      <c r="G5" s="11">
        <v>0.98457600000000001</v>
      </c>
      <c r="H5" s="11">
        <v>12.9476</v>
      </c>
      <c r="I5" s="2"/>
      <c r="J5" s="2"/>
      <c r="P5" s="2"/>
      <c r="V5" s="2"/>
      <c r="AA5" s="3"/>
      <c r="AB5" s="2"/>
      <c r="AH5" s="2"/>
    </row>
    <row r="6" spans="1:35">
      <c r="A6">
        <v>10</v>
      </c>
      <c r="B6">
        <v>100</v>
      </c>
      <c r="C6">
        <v>5</v>
      </c>
      <c r="D6">
        <f>IF(F6&lt;9999,1,0)</f>
        <v>1</v>
      </c>
      <c r="E6">
        <f t="shared" si="0"/>
        <v>1</v>
      </c>
      <c r="F6" s="11">
        <v>362.56299999999999</v>
      </c>
      <c r="G6" s="11">
        <v>0.97556299999999996</v>
      </c>
      <c r="H6" s="11">
        <v>2.28918</v>
      </c>
    </row>
    <row r="7" spans="1:35">
      <c r="A7" s="16" t="s">
        <v>6</v>
      </c>
      <c r="B7" s="16"/>
      <c r="C7" s="16"/>
      <c r="D7" s="9">
        <f>SUM(D2:D6)</f>
        <v>5</v>
      </c>
      <c r="E7" s="4">
        <f>SUM(E2:E6)</f>
        <v>4</v>
      </c>
      <c r="F7" s="12">
        <f>($D2*F2+$D3*F3+$D4*F4+$D5*F5+$D6*F6)/$D7</f>
        <v>505.28980000000001</v>
      </c>
      <c r="G7" s="12">
        <f>($D2*G2+$D3*G3+$D4*G4+$D5*G5+$D6*G6)/$D7</f>
        <v>1.1700459999999999</v>
      </c>
      <c r="H7" s="12">
        <f>AVERAGE(H2:H6)</f>
        <v>516.14595600000007</v>
      </c>
      <c r="N7" s="2"/>
      <c r="T7" s="2"/>
      <c r="Y7" s="3"/>
      <c r="Z7" s="2"/>
      <c r="AF7" s="2"/>
    </row>
    <row r="8" spans="1:35">
      <c r="A8">
        <v>10</v>
      </c>
      <c r="B8">
        <v>200</v>
      </c>
      <c r="C8">
        <v>1</v>
      </c>
      <c r="D8">
        <f>IF(F8&lt;9999,1,0)</f>
        <v>1</v>
      </c>
      <c r="E8">
        <f>IF(G8&lt;1,1,0)</f>
        <v>0</v>
      </c>
      <c r="F8" s="11">
        <v>596.86800000000005</v>
      </c>
      <c r="G8" s="11">
        <v>1.7424999999999999</v>
      </c>
      <c r="H8" s="11">
        <v>1800.18</v>
      </c>
      <c r="M8" s="2"/>
      <c r="S8" s="2"/>
      <c r="X8" s="3"/>
      <c r="Y8" s="2"/>
      <c r="AE8" s="2"/>
    </row>
    <row r="9" spans="1:35">
      <c r="A9">
        <v>10</v>
      </c>
      <c r="B9">
        <v>200</v>
      </c>
      <c r="C9">
        <v>2</v>
      </c>
      <c r="D9">
        <f>IF(F9&lt;9999,1,0)</f>
        <v>1</v>
      </c>
      <c r="E9">
        <f t="shared" ref="E9:E12" si="1">IF(G9&lt;1,1,0)</f>
        <v>1</v>
      </c>
      <c r="F9" s="11">
        <v>328.61900000000003</v>
      </c>
      <c r="G9" s="11">
        <v>0.81234600000000001</v>
      </c>
      <c r="H9" s="11">
        <v>4.0212899999999996</v>
      </c>
      <c r="L9" s="2"/>
      <c r="R9" s="2"/>
      <c r="W9" s="3"/>
      <c r="X9" s="2"/>
      <c r="AD9" s="2"/>
    </row>
    <row r="10" spans="1:35">
      <c r="A10">
        <v>10</v>
      </c>
      <c r="B10">
        <v>200</v>
      </c>
      <c r="C10">
        <v>3</v>
      </c>
      <c r="D10">
        <f>IF(F10&lt;9999,1,0)</f>
        <v>1</v>
      </c>
      <c r="E10">
        <f t="shared" si="1"/>
        <v>1</v>
      </c>
      <c r="F10" s="11">
        <v>459.911</v>
      </c>
      <c r="G10" s="11">
        <v>0.99288500000000002</v>
      </c>
      <c r="H10" s="11">
        <v>1286.17</v>
      </c>
      <c r="K10" s="2"/>
      <c r="Q10" s="2"/>
      <c r="V10" s="3"/>
      <c r="W10" s="2"/>
      <c r="AC10" s="2"/>
    </row>
    <row r="11" spans="1:35">
      <c r="A11">
        <v>10</v>
      </c>
      <c r="B11">
        <v>200</v>
      </c>
      <c r="C11">
        <v>4</v>
      </c>
      <c r="D11">
        <f>IF(F11&lt;9999,1,0)</f>
        <v>1</v>
      </c>
      <c r="E11">
        <f t="shared" si="1"/>
        <v>1</v>
      </c>
      <c r="F11" s="11">
        <v>492.54199999999997</v>
      </c>
      <c r="G11" s="11">
        <v>0.86027699999999996</v>
      </c>
      <c r="H11" s="11">
        <v>347.28500000000003</v>
      </c>
      <c r="I11" s="2"/>
      <c r="J11" s="2"/>
      <c r="P11" s="2"/>
      <c r="U11" s="3"/>
      <c r="V11" s="2"/>
      <c r="AB11" s="2"/>
    </row>
    <row r="12" spans="1:35">
      <c r="A12">
        <v>10</v>
      </c>
      <c r="B12">
        <v>200</v>
      </c>
      <c r="C12">
        <v>5</v>
      </c>
      <c r="D12">
        <f>IF(F12&lt;9999,1,0)</f>
        <v>1</v>
      </c>
      <c r="E12">
        <f t="shared" si="1"/>
        <v>1</v>
      </c>
      <c r="F12" s="11">
        <v>456.875</v>
      </c>
      <c r="G12" s="11">
        <v>0.99288699999999996</v>
      </c>
      <c r="H12" s="11">
        <v>804.31600000000003</v>
      </c>
      <c r="O12" s="2"/>
      <c r="U12" s="2"/>
      <c r="AA12" s="2"/>
    </row>
    <row r="13" spans="1:35">
      <c r="A13" s="16" t="s">
        <v>6</v>
      </c>
      <c r="B13" s="16"/>
      <c r="C13" s="16"/>
      <c r="D13" s="9">
        <f>SUM(D8:D12)</f>
        <v>5</v>
      </c>
      <c r="E13" s="4">
        <f>SUM(E8:E12)</f>
        <v>4</v>
      </c>
      <c r="F13" s="12">
        <f>($D8*F8+$D9*F9+$D10*F10+$D11*F11+$D12*F12)/$D13</f>
        <v>466.96300000000002</v>
      </c>
      <c r="G13" s="12">
        <f>($D8*G8+$D9*G9+$D10*G10+$D11*G11+$D12*G12)/$D13</f>
        <v>1.0801789999999998</v>
      </c>
      <c r="H13" s="12">
        <f>AVERAGE(H8:H12)</f>
        <v>848.39445799999999</v>
      </c>
      <c r="N13" s="2"/>
      <c r="S13" s="3"/>
      <c r="T13" s="2"/>
      <c r="Z13" s="2"/>
    </row>
    <row r="14" spans="1:35">
      <c r="A14">
        <v>10</v>
      </c>
      <c r="B14">
        <v>300</v>
      </c>
      <c r="C14">
        <v>1</v>
      </c>
      <c r="D14">
        <f>IF(F14&lt;9999,1,0)</f>
        <v>1</v>
      </c>
      <c r="E14">
        <f>IF(G14&lt;1,1,0)</f>
        <v>0</v>
      </c>
      <c r="F14" s="11">
        <v>578.82600000000002</v>
      </c>
      <c r="G14" s="11">
        <v>2.7150300000000001</v>
      </c>
      <c r="H14" s="11">
        <v>1800.96</v>
      </c>
      <c r="M14" s="2"/>
      <c r="R14" s="3"/>
      <c r="S14" s="2"/>
      <c r="Y14" s="2"/>
    </row>
    <row r="15" spans="1:35">
      <c r="A15">
        <v>10</v>
      </c>
      <c r="B15">
        <v>300</v>
      </c>
      <c r="C15">
        <v>2</v>
      </c>
      <c r="D15">
        <f>IF(F15&lt;9999,1,0)</f>
        <v>1</v>
      </c>
      <c r="E15">
        <f t="shared" ref="E15:E18" si="2">IF(G15&lt;1,1,0)</f>
        <v>1</v>
      </c>
      <c r="F15" s="11">
        <v>545.82500000000005</v>
      </c>
      <c r="G15" s="11">
        <v>0.94036900000000001</v>
      </c>
      <c r="H15" s="11">
        <v>12.3202</v>
      </c>
      <c r="L15" s="2"/>
      <c r="Q15" s="3"/>
      <c r="R15" s="2"/>
      <c r="X15" s="2"/>
    </row>
    <row r="16" spans="1:35">
      <c r="A16">
        <v>10</v>
      </c>
      <c r="B16">
        <v>300</v>
      </c>
      <c r="C16">
        <v>3</v>
      </c>
      <c r="D16">
        <f>IF(F16&lt;9999,1,0)</f>
        <v>1</v>
      </c>
      <c r="E16">
        <f t="shared" si="2"/>
        <v>1</v>
      </c>
      <c r="F16" s="11">
        <v>364.07600000000002</v>
      </c>
      <c r="G16" s="11">
        <v>0.90255300000000005</v>
      </c>
      <c r="H16" s="11">
        <v>21.752700000000001</v>
      </c>
      <c r="K16" s="2"/>
      <c r="P16" s="3"/>
      <c r="Q16" s="2"/>
      <c r="W16" s="2"/>
    </row>
    <row r="17" spans="1:22">
      <c r="A17">
        <v>10</v>
      </c>
      <c r="B17">
        <v>300</v>
      </c>
      <c r="C17">
        <v>4</v>
      </c>
      <c r="D17">
        <f>IF(F17&lt;9999,1,0)</f>
        <v>1</v>
      </c>
      <c r="E17">
        <f t="shared" si="2"/>
        <v>1</v>
      </c>
      <c r="F17" s="11">
        <v>448.70800000000003</v>
      </c>
      <c r="G17" s="11">
        <v>0.81556200000000001</v>
      </c>
      <c r="H17" s="11">
        <v>229.143</v>
      </c>
      <c r="I17" s="2"/>
      <c r="J17" s="2"/>
      <c r="O17" s="3"/>
      <c r="P17" s="2"/>
      <c r="V17" s="2"/>
    </row>
    <row r="18" spans="1:22">
      <c r="A18">
        <v>10</v>
      </c>
      <c r="B18">
        <v>300</v>
      </c>
      <c r="C18">
        <v>5</v>
      </c>
      <c r="D18">
        <f>IF(F18&lt;9999,1,0)</f>
        <v>1</v>
      </c>
      <c r="E18">
        <f t="shared" si="2"/>
        <v>0</v>
      </c>
      <c r="F18" s="11">
        <v>740.55600000000004</v>
      </c>
      <c r="G18" s="11">
        <v>1.44885</v>
      </c>
      <c r="H18" s="11">
        <v>1801.32</v>
      </c>
      <c r="O18" s="2"/>
      <c r="U18" s="2"/>
    </row>
    <row r="19" spans="1:22">
      <c r="A19" s="16" t="s">
        <v>6</v>
      </c>
      <c r="B19" s="16"/>
      <c r="C19" s="16"/>
      <c r="D19" s="9">
        <f>SUM(D14:D18)</f>
        <v>5</v>
      </c>
      <c r="E19" s="4">
        <f>SUM(E14:E18)</f>
        <v>3</v>
      </c>
      <c r="F19" s="12">
        <f>($D14*F14+$D15*F15+$D16*F16+$D17*F17+$D18*F18)/$D19</f>
        <v>535.59820000000002</v>
      </c>
      <c r="G19" s="12">
        <f>($D14*G14+$D15*G15+$D16*G16+$D17*G17+$D18*G18)/$D19</f>
        <v>1.3644728000000002</v>
      </c>
      <c r="H19" s="12">
        <f>AVERAGE(H14:H18)</f>
        <v>773.09917999999993</v>
      </c>
      <c r="M19" s="3"/>
      <c r="N19" s="2"/>
      <c r="T19" s="2"/>
    </row>
    <row r="20" spans="1:22">
      <c r="A20">
        <v>10</v>
      </c>
      <c r="B20">
        <v>400</v>
      </c>
      <c r="C20">
        <v>1</v>
      </c>
      <c r="D20">
        <f>IF(F20&lt;9999,1,0)</f>
        <v>1</v>
      </c>
      <c r="E20">
        <f>IF(G20&lt;1,1,0)</f>
        <v>1</v>
      </c>
      <c r="F20" s="11">
        <v>596.64300000000003</v>
      </c>
      <c r="G20" s="11">
        <v>0.95161700000000005</v>
      </c>
      <c r="H20" s="11">
        <v>165.64599999999999</v>
      </c>
      <c r="L20" s="3"/>
      <c r="M20" s="2"/>
      <c r="S20" s="2"/>
    </row>
    <row r="21" spans="1:22">
      <c r="A21">
        <v>10</v>
      </c>
      <c r="B21">
        <v>400</v>
      </c>
      <c r="C21">
        <v>2</v>
      </c>
      <c r="D21">
        <f>IF(F21&lt;9999,1,0)</f>
        <v>1</v>
      </c>
      <c r="E21">
        <f t="shared" ref="E21:E24" si="3">IF(G21&lt;1,1,0)</f>
        <v>1</v>
      </c>
      <c r="F21" s="11">
        <v>541.31500000000005</v>
      </c>
      <c r="G21" s="11">
        <v>0.619452</v>
      </c>
      <c r="H21" s="11">
        <v>97.842600000000004</v>
      </c>
      <c r="K21" s="3"/>
      <c r="L21" s="2"/>
      <c r="R21" s="2"/>
    </row>
    <row r="22" spans="1:22">
      <c r="A22">
        <v>10</v>
      </c>
      <c r="B22">
        <v>400</v>
      </c>
      <c r="C22">
        <v>3</v>
      </c>
      <c r="D22">
        <f>IF(F22&lt;9999,1,0)</f>
        <v>1</v>
      </c>
      <c r="E22">
        <f t="shared" si="3"/>
        <v>1</v>
      </c>
      <c r="F22" s="11">
        <v>581.86599999999999</v>
      </c>
      <c r="G22" s="11">
        <v>0.22717000000000001</v>
      </c>
      <c r="H22" s="11">
        <v>38.926299999999998</v>
      </c>
      <c r="I22" s="3"/>
      <c r="J22" s="3"/>
      <c r="K22" s="2"/>
      <c r="Q22" s="2"/>
    </row>
    <row r="23" spans="1:22">
      <c r="A23">
        <v>10</v>
      </c>
      <c r="B23">
        <v>400</v>
      </c>
      <c r="C23">
        <v>4</v>
      </c>
      <c r="D23">
        <f>IF(F23&lt;9999,1,0)</f>
        <v>1</v>
      </c>
      <c r="E23">
        <f t="shared" si="3"/>
        <v>1</v>
      </c>
      <c r="F23" s="11">
        <v>474.101</v>
      </c>
      <c r="G23" s="11">
        <v>0.55949899999999997</v>
      </c>
      <c r="H23" s="11">
        <v>273.42700000000002</v>
      </c>
      <c r="I23" s="2"/>
      <c r="J23" s="2"/>
      <c r="P23" s="2"/>
    </row>
    <row r="24" spans="1:22">
      <c r="A24">
        <v>10</v>
      </c>
      <c r="B24">
        <v>400</v>
      </c>
      <c r="C24">
        <v>5</v>
      </c>
      <c r="D24">
        <f>IF(F24&lt;9999,1,0)</f>
        <v>1</v>
      </c>
      <c r="E24">
        <f t="shared" si="3"/>
        <v>1</v>
      </c>
      <c r="F24" s="11">
        <v>604.96299999999997</v>
      </c>
      <c r="G24" s="11">
        <v>0.68655999999999995</v>
      </c>
      <c r="H24" s="11">
        <v>13.4277</v>
      </c>
      <c r="O24" s="2"/>
    </row>
    <row r="25" spans="1:22">
      <c r="A25" s="16" t="s">
        <v>6</v>
      </c>
      <c r="B25" s="16"/>
      <c r="C25" s="16"/>
      <c r="D25" s="9">
        <f>SUM(D20:D24)</f>
        <v>5</v>
      </c>
      <c r="E25" s="4">
        <f>SUM(E20:E24)</f>
        <v>5</v>
      </c>
      <c r="F25" s="12">
        <f>($D20*F20+$D21*F21+$D22*F22+$D23*F23+$D24*F24)/$D25</f>
        <v>559.77760000000001</v>
      </c>
      <c r="G25" s="12">
        <f>($D20*G20+$D21*G21+$D22*G22+$D23*G23+$D24*G24)/$D25</f>
        <v>0.60885960000000006</v>
      </c>
      <c r="H25" s="12">
        <f>AVERAGE(H20:H24)</f>
        <v>117.85391999999999</v>
      </c>
      <c r="N25" s="2"/>
    </row>
    <row r="26" spans="1:22">
      <c r="A26">
        <v>10</v>
      </c>
      <c r="B26">
        <v>500</v>
      </c>
      <c r="C26">
        <v>1</v>
      </c>
      <c r="D26">
        <f>IF(F26&lt;9999,1,0)</f>
        <v>1</v>
      </c>
      <c r="E26">
        <f>IF(G26&lt;1,1,0)</f>
        <v>1</v>
      </c>
      <c r="F26" s="11">
        <v>452.36599999999999</v>
      </c>
      <c r="G26" s="11">
        <v>0.99617900000000004</v>
      </c>
      <c r="H26" s="11">
        <v>554.45600000000002</v>
      </c>
      <c r="M26" s="2"/>
    </row>
    <row r="27" spans="1:22">
      <c r="A27">
        <v>10</v>
      </c>
      <c r="B27">
        <v>500</v>
      </c>
      <c r="C27">
        <v>2</v>
      </c>
      <c r="D27">
        <f>IF(F27&lt;9999,1,0)</f>
        <v>1</v>
      </c>
      <c r="E27">
        <f t="shared" ref="E27:E30" si="4">IF(G27&lt;1,1,0)</f>
        <v>0</v>
      </c>
      <c r="F27" s="11">
        <v>705.14499999999998</v>
      </c>
      <c r="G27" s="11">
        <v>3.5076299999999998</v>
      </c>
      <c r="H27" s="11">
        <v>1800.84</v>
      </c>
      <c r="L27" s="2"/>
    </row>
    <row r="28" spans="1:22">
      <c r="A28">
        <v>10</v>
      </c>
      <c r="B28">
        <v>500</v>
      </c>
      <c r="C28">
        <v>3</v>
      </c>
      <c r="D28">
        <f>IF(F28&lt;9999,1,0)</f>
        <v>1</v>
      </c>
      <c r="E28">
        <f t="shared" si="4"/>
        <v>0</v>
      </c>
      <c r="F28" s="11">
        <v>475.39100000000002</v>
      </c>
      <c r="G28" s="11">
        <v>2.7932199999999998</v>
      </c>
      <c r="H28" s="11">
        <v>1800.01</v>
      </c>
      <c r="K28" s="2"/>
    </row>
    <row r="29" spans="1:22">
      <c r="A29">
        <v>10</v>
      </c>
      <c r="B29">
        <v>500</v>
      </c>
      <c r="C29">
        <v>4</v>
      </c>
      <c r="D29">
        <f>IF(F29&lt;9999,1,0)</f>
        <v>1</v>
      </c>
      <c r="E29">
        <f t="shared" si="4"/>
        <v>1</v>
      </c>
      <c r="F29" s="11">
        <v>353.892</v>
      </c>
      <c r="G29" s="11">
        <v>0.87578500000000004</v>
      </c>
      <c r="H29" s="11">
        <v>18.930299999999999</v>
      </c>
      <c r="I29" s="2"/>
      <c r="J29" s="2"/>
    </row>
    <row r="30" spans="1:22">
      <c r="A30">
        <v>10</v>
      </c>
      <c r="B30">
        <v>500</v>
      </c>
      <c r="C30">
        <v>5</v>
      </c>
      <c r="D30">
        <f>IF(F30&lt;9999,1,0)</f>
        <v>1</v>
      </c>
      <c r="E30">
        <f t="shared" si="4"/>
        <v>1</v>
      </c>
      <c r="F30" s="11">
        <v>492.21199999999999</v>
      </c>
      <c r="G30" s="11">
        <v>0.99315399999999998</v>
      </c>
      <c r="H30" s="11">
        <v>53.659100000000002</v>
      </c>
    </row>
    <row r="31" spans="1:22">
      <c r="A31" s="16" t="s">
        <v>6</v>
      </c>
      <c r="B31" s="16"/>
      <c r="C31" s="16"/>
      <c r="D31" s="9">
        <f>SUM(D26:D30)</f>
        <v>5</v>
      </c>
      <c r="E31" s="4">
        <f>SUM(E26:E30)</f>
        <v>3</v>
      </c>
      <c r="F31" s="12">
        <f>($D26*F26+$D27*F27+$D28*F28+$D29*F29+$D30*F30)/$D31</f>
        <v>495.80120000000005</v>
      </c>
      <c r="G31" s="12">
        <f>($D26*G26+$D27*G27+$D28*G28+$D29*G29+$D30*G30)/$D31</f>
        <v>1.8331936</v>
      </c>
      <c r="H31" s="12">
        <f>AVERAGE(H26:H30)</f>
        <v>845.57907999999986</v>
      </c>
    </row>
    <row r="33" spans="1:8">
      <c r="A33" s="15" t="s">
        <v>8</v>
      </c>
      <c r="B33" s="15"/>
      <c r="C33" s="15"/>
      <c r="D33" s="2">
        <f>SUM(D7,D13,D19,D25,D31)</f>
        <v>25</v>
      </c>
      <c r="E33" s="7">
        <f>SUM(E7,E13,E19,E25,E31)</f>
        <v>19</v>
      </c>
      <c r="F33" s="13">
        <f>(F7*$D7+F13*$D13+F19*$D19+F25*$D25+F31*$D31)/($D7+$D13+$D19+$D25+$D31)</f>
        <v>512.68596000000002</v>
      </c>
      <c r="G33" s="13">
        <f>(G7*$D7+G13*$D13+G19*$D19+G25*$D25+G31*$D31)/($D7+$D13+$D19+$D25+$D31)</f>
        <v>1.2113502</v>
      </c>
      <c r="H33" s="13">
        <f>AVERAGE(H7,H13,H19,H25,H31)</f>
        <v>620.21451880000006</v>
      </c>
    </row>
    <row r="35" spans="1:8">
      <c r="A35" s="17" t="s">
        <v>9</v>
      </c>
      <c r="B35" s="17"/>
      <c r="C35" s="17"/>
      <c r="D35" s="8">
        <f>SUM('B2'!D33,'B4'!D33,'B6'!D33,'B8'!D33,'B10'!D33)</f>
        <v>125</v>
      </c>
      <c r="E35" s="8">
        <f>SUM('B2'!E33,'B4'!E33,'B6'!E33,'B8'!E33,'B10'!E33)</f>
        <v>115</v>
      </c>
      <c r="F35" s="14">
        <f>AVERAGE('B2'!F33,'B4'!F33,'B6'!F33,'B8'!F33,'B10'!F33)</f>
        <v>313.48350319999997</v>
      </c>
      <c r="G35" s="14">
        <f>AVERAGE('B2'!G33,'B4'!G33,'B6'!G33,'B8'!G33,'B10'!G33)</f>
        <v>0.74281565199999999</v>
      </c>
      <c r="H35" s="14">
        <f>AVERAGE('B2'!H33,'B4'!H33,'B6'!H33,'B8'!H33,'B10'!H33)</f>
        <v>205.20255772800002</v>
      </c>
    </row>
    <row r="55" spans="9:9">
      <c r="I55">
        <v>416.11599999999999</v>
      </c>
    </row>
  </sheetData>
  <mergeCells count="7">
    <mergeCell ref="A33:C33"/>
    <mergeCell ref="A35:C35"/>
    <mergeCell ref="A7:C7"/>
    <mergeCell ref="A13:C13"/>
    <mergeCell ref="A19:C19"/>
    <mergeCell ref="A25:C25"/>
    <mergeCell ref="A31:C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</vt:lpstr>
      <vt:lpstr>B4</vt:lpstr>
      <vt:lpstr>B6</vt:lpstr>
      <vt:lpstr>B8</vt:lpstr>
      <vt:lpstr>B10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Lingxiao Leo [AAE]</dc:creator>
  <cp:lastModifiedBy>WU, Lingxiao Leo [AAE]</cp:lastModifiedBy>
  <dcterms:created xsi:type="dcterms:W3CDTF">2015-06-05T18:17:20Z</dcterms:created>
  <dcterms:modified xsi:type="dcterms:W3CDTF">2026-05-13T09:02:04Z</dcterms:modified>
</cp:coreProperties>
</file>